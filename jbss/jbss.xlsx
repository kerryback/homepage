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Model" sheetId="2" state="visible" r:id="rId2"/>
    <sheet name="Bridge" sheetId="3" state="visible" r:id="rId3"/>
    <sheet name="Sensitivity" sheetId="4" state="visible" r:id="rId4"/>
    <sheet name="Drivers" sheetId="5" state="visible" r:id="rId5"/>
    <sheet name="Historical" sheetId="6" state="visible" r:id="rId6"/>
    <sheet name="NOL schedule" sheetId="7" state="visible" r:id="rId7"/>
    <sheet name="Check"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6">
    <font>
      <name val="Calibri"/>
      <family val="2"/>
      <color theme="1"/>
      <sz val="11"/>
      <scheme val="minor"/>
    </font>
    <font>
      <b val="1"/>
      <sz val="14"/>
    </font>
    <font>
      <i val="1"/>
      <sz val="9"/>
    </font>
    <font>
      <b val="1"/>
      <color rgb="00FFFFFF"/>
    </font>
    <font>
      <b val="1"/>
      <color rgb="0000205B"/>
    </font>
    <font>
      <b val="1"/>
    </font>
  </fonts>
  <fills count="4">
    <fill>
      <patternFill/>
    </fill>
    <fill>
      <patternFill patternType="gray125"/>
    </fill>
    <fill>
      <patternFill patternType="solid">
        <fgColor rgb="0000205B"/>
      </patternFill>
    </fill>
    <fill>
      <patternFill patternType="solid">
        <fgColor rgb="00EEF2F9"/>
      </patternFill>
    </fill>
  </fills>
  <borders count="2">
    <border>
      <left/>
      <right/>
      <top/>
      <bottom/>
      <diagonal/>
    </border>
    <border>
      <top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164" fontId="0" fillId="0" borderId="0" pivotButton="0" quotePrefix="0" xfId="0"/>
    <xf numFmtId="2" fontId="0" fillId="0" borderId="0" pivotButton="0" quotePrefix="0" xfId="0"/>
    <xf numFmtId="165" fontId="0" fillId="0" borderId="0" pivotButton="0" quotePrefix="0" xfId="0"/>
    <xf numFmtId="0" fontId="3" fillId="2" borderId="0" applyAlignment="1" pivotButton="0" quotePrefix="0" xfId="0">
      <alignment horizontal="right"/>
    </xf>
    <xf numFmtId="165" fontId="5" fillId="0" borderId="0" pivotButton="0" quotePrefix="0" xfId="0"/>
    <xf numFmtId="166" fontId="0" fillId="0" borderId="0" pivotButton="0" quotePrefix="0" xfId="0"/>
    <xf numFmtId="0" fontId="5" fillId="0" borderId="0" pivotButton="0" quotePrefix="0" xfId="0"/>
    <xf numFmtId="165" fontId="5" fillId="0" borderId="1" pivotButton="0" quotePrefix="0" xfId="0"/>
    <xf numFmtId="4" fontId="5" fillId="0" borderId="1" pivotButton="0" quotePrefix="0" xfId="0"/>
    <xf numFmtId="0" fontId="2" fillId="0" borderId="0" applyAlignment="1" pivotButton="0" quotePrefix="0" xfId="0">
      <alignment wrapText="1"/>
    </xf>
    <xf numFmtId="164" fontId="3" fillId="2" borderId="0" pivotButton="0" quotePrefix="0" xfId="0"/>
    <xf numFmtId="164" fontId="5" fillId="0" borderId="0" pivotButton="0" quotePrefix="0" xfId="0"/>
    <xf numFmtId="4" fontId="0" fillId="0" borderId="0" pivotButton="0" quotePrefix="0" xfId="0"/>
    <xf numFmtId="4" fontId="5" fillId="3"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s>
  <sheetData>
    <row r="1">
      <c r="A1" s="1" t="inlineStr">
        <is>
          <t>John B. Sanfilippo &amp; Son, Inc. — assumptions</t>
        </is>
      </c>
    </row>
    <row r="2">
      <c r="A2" s="2" t="inlineStr">
        <is>
          <t>Fiscal year 2026 is year 0. All figures in USD thousands. Working-capital ratios are stated against the same year's sales; net PP&amp;E is a turnover on next year's.</t>
        </is>
      </c>
    </row>
    <row r="4">
      <c r="A4" s="3" t="inlineStr">
        <is>
          <t>Assumption</t>
        </is>
      </c>
      <c r="B4" s="3" t="inlineStr">
        <is>
          <t>Year 1</t>
        </is>
      </c>
      <c r="C4" s="3" t="inlineStr">
        <is>
          <t>Year 2</t>
        </is>
      </c>
      <c r="D4" s="3" t="inlineStr">
        <is>
          <t>Year 3</t>
        </is>
      </c>
      <c r="E4" s="3" t="inlineStr">
        <is>
          <t>Year 4</t>
        </is>
      </c>
      <c r="F4" s="3" t="inlineStr">
        <is>
          <t>Year 5</t>
        </is>
      </c>
      <c r="G4" s="3" t="inlineStr">
        <is>
          <t>Terminal</t>
        </is>
      </c>
    </row>
    <row r="5">
      <c r="A5" s="4" t="inlineStr">
        <is>
          <t>Growth and margin</t>
        </is>
      </c>
    </row>
    <row r="6">
      <c r="A6" t="inlineStr">
        <is>
          <t>Sales growth</t>
        </is>
      </c>
      <c r="B6" s="5" t="n">
        <v>0.045</v>
      </c>
      <c r="C6" s="5" t="n">
        <v>0.065</v>
      </c>
      <c r="D6" s="5" t="n">
        <v>0.06</v>
      </c>
      <c r="E6" s="5" t="n">
        <v>0.045</v>
      </c>
      <c r="F6" s="5" t="n">
        <v>0.035</v>
      </c>
      <c r="G6" s="5" t="n">
        <v>0.035</v>
      </c>
    </row>
    <row r="7">
      <c r="A7" t="inlineStr">
        <is>
          <t>EBITDA margin</t>
        </is>
      </c>
      <c r="B7" s="5" t="n">
        <v>0.102</v>
      </c>
      <c r="C7" s="5" t="n">
        <v>0.106</v>
      </c>
      <c r="D7" s="5" t="n">
        <v>0.108</v>
      </c>
      <c r="E7" s="5" t="n">
        <v>0.108</v>
      </c>
      <c r="F7" s="5" t="n">
        <v>0.108</v>
      </c>
      <c r="G7" s="5" t="n">
        <v>0.108</v>
      </c>
    </row>
    <row r="8">
      <c r="A8" s="4" t="inlineStr">
        <is>
          <t>Property, plant and equipment</t>
        </is>
      </c>
    </row>
    <row r="9">
      <c r="A9" t="inlineStr">
        <is>
          <t>Next-year sales / net PP&amp;E</t>
        </is>
      </c>
      <c r="B9" s="6" t="n">
        <v>5.25</v>
      </c>
      <c r="C9" s="6" t="n">
        <v>5.6</v>
      </c>
      <c r="D9" s="6" t="n">
        <v>5.9</v>
      </c>
      <c r="E9" s="6" t="n">
        <v>6.15</v>
      </c>
      <c r="F9" s="6" t="n">
        <v>6.3</v>
      </c>
      <c r="G9" s="6" t="n">
        <v>6.3</v>
      </c>
    </row>
    <row r="10">
      <c r="A10" t="inlineStr">
        <is>
          <t>Depreciation / prior net PP&amp;E</t>
        </is>
      </c>
      <c r="B10" s="5" t="n">
        <v>0.14</v>
      </c>
      <c r="C10" s="5" t="n">
        <v>0.135</v>
      </c>
      <c r="D10" s="5" t="n">
        <v>0.13</v>
      </c>
      <c r="E10" s="5" t="n">
        <v>0.13</v>
      </c>
      <c r="F10" s="5" t="n">
        <v>0.13</v>
      </c>
      <c r="G10" s="5" t="n">
        <v>0.13</v>
      </c>
    </row>
    <row r="11">
      <c r="A11" s="4" t="inlineStr">
        <is>
          <t>Operating assets, as a share of sales</t>
        </is>
      </c>
    </row>
    <row r="12">
      <c r="A12" t="inlineStr">
        <is>
          <t>Accounts receivable</t>
        </is>
      </c>
      <c r="B12" s="5" t="n">
        <v>0.07200000000000001</v>
      </c>
      <c r="C12" s="5" t="n">
        <v>0.07099999999999999</v>
      </c>
      <c r="D12" s="5" t="n">
        <v>0.07099999999999999</v>
      </c>
      <c r="E12" s="5" t="n">
        <v>0.07000000000000001</v>
      </c>
      <c r="F12" s="5" t="n">
        <v>0.07000000000000001</v>
      </c>
      <c r="G12" s="5" t="n">
        <v>0.07000000000000001</v>
      </c>
    </row>
    <row r="13">
      <c r="A13" t="inlineStr">
        <is>
          <t>Inventories</t>
        </is>
      </c>
      <c r="B13" s="5" t="n">
        <v>0.209</v>
      </c>
      <c r="C13" s="5" t="n">
        <v>0.205</v>
      </c>
      <c r="D13" s="5" t="n">
        <v>0.2</v>
      </c>
      <c r="E13" s="5" t="n">
        <v>0.197</v>
      </c>
      <c r="F13" s="5" t="n">
        <v>0.195</v>
      </c>
      <c r="G13" s="5" t="n">
        <v>0.195</v>
      </c>
    </row>
    <row r="14">
      <c r="A14" t="inlineStr">
        <is>
          <t>Prepaid expenses and other current assets</t>
        </is>
      </c>
      <c r="B14" s="5" t="n">
        <v>0.015</v>
      </c>
      <c r="C14" s="5" t="n">
        <v>0.014</v>
      </c>
      <c r="D14" s="5" t="n">
        <v>0.013</v>
      </c>
      <c r="E14" s="5" t="n">
        <v>0.012</v>
      </c>
      <c r="F14" s="5" t="n">
        <v>0.012</v>
      </c>
      <c r="G14" s="5" t="n">
        <v>0.012</v>
      </c>
    </row>
    <row r="15">
      <c r="A15" s="4" t="inlineStr">
        <is>
          <t>Operating liabilities, as a share of sales</t>
        </is>
      </c>
    </row>
    <row r="16">
      <c r="A16" t="inlineStr">
        <is>
          <t>Accounts payable</t>
        </is>
      </c>
      <c r="B16" s="5" t="n">
        <v>0.062</v>
      </c>
      <c r="C16" s="5" t="n">
        <v>0.06</v>
      </c>
      <c r="D16" s="5" t="n">
        <v>0.058</v>
      </c>
      <c r="E16" s="5" t="n">
        <v>0.05599999999999999</v>
      </c>
      <c r="F16" s="5" t="n">
        <v>0.055</v>
      </c>
      <c r="G16" s="5" t="n">
        <v>0.055</v>
      </c>
    </row>
    <row r="17">
      <c r="A17" t="inlineStr">
        <is>
          <t>Accrued payroll and related benefits</t>
        </is>
      </c>
      <c r="B17" s="5" t="n">
        <v>0.029</v>
      </c>
      <c r="C17" s="5" t="n">
        <v>0.028</v>
      </c>
      <c r="D17" s="5" t="n">
        <v>0.027</v>
      </c>
      <c r="E17" s="5" t="n">
        <v>0.026</v>
      </c>
      <c r="F17" s="5" t="n">
        <v>0.026</v>
      </c>
      <c r="G17" s="5" t="n">
        <v>0.026</v>
      </c>
    </row>
    <row r="18">
      <c r="A18" t="inlineStr">
        <is>
          <t>Other accrued expenses</t>
        </is>
      </c>
      <c r="B18" s="5" t="n">
        <v>0.018</v>
      </c>
      <c r="C18" s="5" t="n">
        <v>0.017</v>
      </c>
      <c r="D18" s="5" t="n">
        <v>0.016</v>
      </c>
      <c r="E18" s="5" t="n">
        <v>0.016</v>
      </c>
      <c r="F18" s="5" t="n">
        <v>0.016</v>
      </c>
      <c r="G18" s="5" t="n">
        <v>0.016</v>
      </c>
    </row>
    <row r="19">
      <c r="A19" t="inlineStr">
        <is>
          <t>Long-term workers' compensation liabilities</t>
        </is>
      </c>
      <c r="B19" s="5" t="n">
        <v>0.009000000000000001</v>
      </c>
      <c r="C19" s="5" t="n">
        <v>0.009000000000000001</v>
      </c>
      <c r="D19" s="5" t="n">
        <v>0.009000000000000001</v>
      </c>
      <c r="E19" s="5" t="n">
        <v>0.009000000000000001</v>
      </c>
      <c r="F19" s="5" t="n">
        <v>0.009000000000000001</v>
      </c>
      <c r="G19" s="5" t="n">
        <v>0.009000000000000001</v>
      </c>
    </row>
    <row r="20">
      <c r="A20" s="4" t="inlineStr">
        <is>
          <t>Taxes</t>
        </is>
      </c>
    </row>
    <row r="21">
      <c r="A21" t="inlineStr">
        <is>
          <t>Cash tax rate on taxable income</t>
        </is>
      </c>
      <c r="B21" s="5" t="n">
        <v>0.27</v>
      </c>
      <c r="C21" s="5" t="n">
        <v>0.27</v>
      </c>
      <c r="D21" s="5" t="n">
        <v>0.27</v>
      </c>
      <c r="E21" s="5" t="n">
        <v>0.27</v>
      </c>
      <c r="F21" s="5" t="n">
        <v>0.27</v>
      </c>
      <c r="G21" s="5" t="n">
        <v>0.27</v>
      </c>
    </row>
    <row r="23">
      <c r="A23" s="4" t="inlineStr">
        <is>
          <t>Rates and year-0 balances</t>
        </is>
      </c>
    </row>
    <row r="24">
      <c r="A24" t="inlineStr">
        <is>
          <t>WACC</t>
        </is>
      </c>
      <c r="B24" s="5" t="n">
        <v>0.08</v>
      </c>
    </row>
    <row r="25">
      <c r="A25" t="inlineStr">
        <is>
          <t>NOL limitation</t>
        </is>
      </c>
      <c r="B25" s="5" t="n">
        <v>0.8</v>
      </c>
    </row>
    <row r="26">
      <c r="A26" t="inlineStr">
        <is>
          <t>Opening NOL carryforward</t>
        </is>
      </c>
      <c r="B26" s="7" t="n">
        <v>0</v>
      </c>
    </row>
    <row r="27">
      <c r="A27" t="inlineStr">
        <is>
          <t>Diluted shares</t>
        </is>
      </c>
      <c r="B27" s="7" t="n">
        <v>11777.4</v>
      </c>
    </row>
    <row r="28">
      <c r="A28" t="inlineStr">
        <is>
          <t>Sales, year 0</t>
        </is>
      </c>
      <c r="B28" s="7" t="n">
        <v>1175673</v>
      </c>
    </row>
    <row r="29">
      <c r="A29" t="inlineStr">
        <is>
          <t>Net PP&amp;E, year 0</t>
        </is>
      </c>
      <c r="B29" s="7" t="n">
        <v>243702</v>
      </c>
    </row>
    <row r="30">
      <c r="A30" t="inlineStr">
        <is>
          <t>Net working capital, year 0</t>
        </is>
      </c>
      <c r="B30" s="7" t="n">
        <v>209479</v>
      </c>
    </row>
    <row r="32">
      <c r="A32" s="4" t="inlineStr">
        <is>
          <t>Claims on the enterprise</t>
        </is>
      </c>
    </row>
    <row r="33">
      <c r="A33" t="inlineStr">
        <is>
          <t>Plus cash</t>
        </is>
      </c>
      <c r="B33" s="7" t="n">
        <v>1147</v>
      </c>
    </row>
    <row r="34">
      <c r="A34" t="inlineStr">
        <is>
          <t>Plus rental investment property</t>
        </is>
      </c>
      <c r="B34" s="7" t="n">
        <v>12263</v>
      </c>
    </row>
    <row r="35">
      <c r="A35" t="inlineStr">
        <is>
          <t>Less revolving credit facility</t>
        </is>
      </c>
      <c r="B35" s="7" t="n">
        <v>33615</v>
      </c>
    </row>
    <row r="36">
      <c r="A36" t="inlineStr">
        <is>
          <t>Less long term debt</t>
        </is>
      </c>
      <c r="B36" s="7" t="n">
        <v>49619</v>
      </c>
    </row>
    <row r="37">
      <c r="A37" t="inlineStr">
        <is>
          <t>Less bank overdraft</t>
        </is>
      </c>
      <c r="B37" s="7" t="n">
        <v>237</v>
      </c>
    </row>
    <row r="38">
      <c r="A38" t="inlineStr">
        <is>
          <t>Less unfunded pension</t>
        </is>
      </c>
      <c r="B38" s="7" t="n">
        <v>29193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Forecast — every cell below is a formula over the Inputs sheet</t>
        </is>
      </c>
    </row>
    <row r="3">
      <c r="A3" s="3" t="inlineStr">
        <is>
          <t>Forecast</t>
        </is>
      </c>
      <c r="B3" s="8" t="inlineStr">
        <is>
          <t>Year 1</t>
        </is>
      </c>
      <c r="C3" s="8" t="inlineStr">
        <is>
          <t>Year 2</t>
        </is>
      </c>
      <c r="D3" s="8" t="inlineStr">
        <is>
          <t>Year 3</t>
        </is>
      </c>
      <c r="E3" s="8" t="inlineStr">
        <is>
          <t>Year 4</t>
        </is>
      </c>
      <c r="F3" s="8" t="inlineStr">
        <is>
          <t>Year 5</t>
        </is>
      </c>
      <c r="G3" s="8" t="inlineStr">
        <is>
          <t>Year 6 · transition</t>
        </is>
      </c>
      <c r="H3" s="8" t="inlineStr">
        <is>
          <t>Year 7 · perpetuity</t>
        </is>
      </c>
      <c r="I3" s="8" t="inlineStr">
        <is>
          <t>Year 8 · for year 7's PP&amp;E</t>
        </is>
      </c>
    </row>
    <row r="4">
      <c r="A4" t="inlineStr">
        <is>
          <t>Sales</t>
        </is>
      </c>
      <c r="B4" s="7">
        <f>Inputs!$B$28*(1+Inputs!$B$6)</f>
        <v/>
      </c>
      <c r="C4" s="7">
        <f>B4*(1+Inputs!$C$6)</f>
        <v/>
      </c>
      <c r="D4" s="7">
        <f>C4*(1+Inputs!$D$6)</f>
        <v/>
      </c>
      <c r="E4" s="7">
        <f>D4*(1+Inputs!$E$6)</f>
        <v/>
      </c>
      <c r="F4" s="7">
        <f>E4*(1+Inputs!$F$6)</f>
        <v/>
      </c>
      <c r="G4" s="7">
        <f>F4*(1+Inputs!$G$6)</f>
        <v/>
      </c>
      <c r="H4" s="7">
        <f>G4*(1+Inputs!$G$6)</f>
        <v/>
      </c>
      <c r="I4" s="7">
        <f>H4*(1+Inputs!$G$6)</f>
        <v/>
      </c>
    </row>
    <row r="5">
      <c r="A5" t="inlineStr">
        <is>
          <t>Next-year sales</t>
        </is>
      </c>
      <c r="B5" s="7">
        <f>C4</f>
        <v/>
      </c>
      <c r="C5" s="7">
        <f>D4</f>
        <v/>
      </c>
      <c r="D5" s="7">
        <f>E4</f>
        <v/>
      </c>
      <c r="E5" s="7">
        <f>F4</f>
        <v/>
      </c>
      <c r="F5" s="7">
        <f>G4</f>
        <v/>
      </c>
      <c r="G5" s="7">
        <f>H4</f>
        <v/>
      </c>
      <c r="H5" s="7">
        <f>I4</f>
        <v/>
      </c>
    </row>
    <row r="6">
      <c r="A6" t="inlineStr">
        <is>
          <t>EBITDA</t>
        </is>
      </c>
      <c r="B6" s="7">
        <f>Inputs!$B$7*B4</f>
        <v/>
      </c>
      <c r="C6" s="7">
        <f>Inputs!$C$7*C4</f>
        <v/>
      </c>
      <c r="D6" s="7">
        <f>Inputs!$D$7*D4</f>
        <v/>
      </c>
      <c r="E6" s="7">
        <f>Inputs!$E$7*E4</f>
        <v/>
      </c>
      <c r="F6" s="7">
        <f>Inputs!$F$7*F4</f>
        <v/>
      </c>
      <c r="G6" s="7">
        <f>Inputs!$G$7*G4</f>
        <v/>
      </c>
      <c r="H6" s="7">
        <f>Inputs!$G$7*H4</f>
        <v/>
      </c>
    </row>
    <row r="7">
      <c r="A7" t="inlineStr">
        <is>
          <t>Net PP&amp;E, closing</t>
        </is>
      </c>
      <c r="B7" s="7">
        <f>B5/Inputs!$B$9</f>
        <v/>
      </c>
      <c r="C7" s="7">
        <f>C5/Inputs!$C$9</f>
        <v/>
      </c>
      <c r="D7" s="7">
        <f>D5/Inputs!$D$9</f>
        <v/>
      </c>
      <c r="E7" s="7">
        <f>E5/Inputs!$E$9</f>
        <v/>
      </c>
      <c r="F7" s="7">
        <f>F5/Inputs!$F$9</f>
        <v/>
      </c>
      <c r="G7" s="7">
        <f>G5/Inputs!$G$9</f>
        <v/>
      </c>
      <c r="H7" s="7">
        <f>H5/Inputs!$G$9</f>
        <v/>
      </c>
    </row>
    <row r="8">
      <c r="A8" t="inlineStr">
        <is>
          <t>Depreciation</t>
        </is>
      </c>
      <c r="B8" s="7">
        <f>Inputs!$B$10*Inputs!$B$29</f>
        <v/>
      </c>
      <c r="C8" s="7">
        <f>Inputs!$C$10*B7</f>
        <v/>
      </c>
      <c r="D8" s="7">
        <f>Inputs!$D$10*C7</f>
        <v/>
      </c>
      <c r="E8" s="7">
        <f>Inputs!$E$10*D7</f>
        <v/>
      </c>
      <c r="F8" s="7">
        <f>Inputs!$F$10*E7</f>
        <v/>
      </c>
      <c r="G8" s="7">
        <f>Inputs!$G$10*F7</f>
        <v/>
      </c>
      <c r="H8" s="7">
        <f>Inputs!$G$10*G7</f>
        <v/>
      </c>
    </row>
    <row r="9">
      <c r="A9" t="inlineStr">
        <is>
          <t>Capital expenditure</t>
        </is>
      </c>
      <c r="B9" s="7">
        <f>B7-Inputs!$B$29+B8</f>
        <v/>
      </c>
      <c r="C9" s="7">
        <f>C7-B7+C8</f>
        <v/>
      </c>
      <c r="D9" s="7">
        <f>D7-C7+D8</f>
        <v/>
      </c>
      <c r="E9" s="7">
        <f>E7-D7+E8</f>
        <v/>
      </c>
      <c r="F9" s="7">
        <f>F7-E7+F8</f>
        <v/>
      </c>
      <c r="G9" s="7">
        <f>G7-F7+G8</f>
        <v/>
      </c>
      <c r="H9" s="7">
        <f>H7-G7+H8</f>
        <v/>
      </c>
    </row>
    <row r="10">
      <c r="A10" t="inlineStr">
        <is>
          <t>Net working capital, closing</t>
        </is>
      </c>
      <c r="B10" s="7">
        <f>(Inputs!B$12+Inputs!B$13+Inputs!B$14-Inputs!B$16-Inputs!B$17-Inputs!B$18-Inputs!B$19)*B4</f>
        <v/>
      </c>
      <c r="C10" s="7">
        <f>(Inputs!C$12+Inputs!C$13+Inputs!C$14-Inputs!C$16-Inputs!C$17-Inputs!C$18-Inputs!C$19)*C4</f>
        <v/>
      </c>
      <c r="D10" s="7">
        <f>(Inputs!D$12+Inputs!D$13+Inputs!D$14-Inputs!D$16-Inputs!D$17-Inputs!D$18-Inputs!D$19)*D4</f>
        <v/>
      </c>
      <c r="E10" s="7">
        <f>(Inputs!E$12+Inputs!E$13+Inputs!E$14-Inputs!E$16-Inputs!E$17-Inputs!E$18-Inputs!E$19)*E4</f>
        <v/>
      </c>
      <c r="F10" s="7">
        <f>(Inputs!F$12+Inputs!F$13+Inputs!F$14-Inputs!F$16-Inputs!F$17-Inputs!F$18-Inputs!F$19)*F4</f>
        <v/>
      </c>
      <c r="G10" s="7">
        <f>(Inputs!G$12+Inputs!G$13+Inputs!G$14-Inputs!G$16-Inputs!G$17-Inputs!G$18-Inputs!G$19)*G4</f>
        <v/>
      </c>
      <c r="H10" s="7">
        <f>(Inputs!G$12+Inputs!G$13+Inputs!G$14-Inputs!G$16-Inputs!G$17-Inputs!G$18-Inputs!G$19)*H4</f>
        <v/>
      </c>
    </row>
    <row r="11">
      <c r="A11" t="inlineStr">
        <is>
          <t>Investment in working capital</t>
        </is>
      </c>
      <c r="B11" s="7">
        <f>B10-Inputs!$B$30</f>
        <v/>
      </c>
      <c r="C11" s="7">
        <f>C10-B10</f>
        <v/>
      </c>
      <c r="D11" s="7">
        <f>D10-C10</f>
        <v/>
      </c>
      <c r="E11" s="7">
        <f>E10-D10</f>
        <v/>
      </c>
      <c r="F11" s="7">
        <f>F10-E10</f>
        <v/>
      </c>
      <c r="G11" s="7">
        <f>G10-F10</f>
        <v/>
      </c>
      <c r="H11" s="7">
        <f>H10-G10</f>
        <v/>
      </c>
    </row>
    <row r="12">
      <c r="A12" t="inlineStr">
        <is>
          <t>EBIT</t>
        </is>
      </c>
      <c r="B12" s="7">
        <f>B6-B8</f>
        <v/>
      </c>
      <c r="C12" s="7">
        <f>C6-C8</f>
        <v/>
      </c>
      <c r="D12" s="7">
        <f>D6-D8</f>
        <v/>
      </c>
      <c r="E12" s="7">
        <f>E6-E8</f>
        <v/>
      </c>
      <c r="F12" s="7">
        <f>F6-F8</f>
        <v/>
      </c>
      <c r="G12" s="7">
        <f>G6-G8</f>
        <v/>
      </c>
      <c r="H12" s="7">
        <f>H6-H8</f>
        <v/>
      </c>
    </row>
    <row r="13">
      <c r="A13" t="inlineStr">
        <is>
          <t>NOL carryforward, opening</t>
        </is>
      </c>
      <c r="B13" s="7">
        <f>Inputs!$B$26</f>
        <v/>
      </c>
      <c r="C13" s="7">
        <f>B17</f>
        <v/>
      </c>
      <c r="D13" s="7">
        <f>C17</f>
        <v/>
      </c>
      <c r="E13" s="7">
        <f>D17</f>
        <v/>
      </c>
      <c r="F13" s="7">
        <f>E17</f>
        <v/>
      </c>
      <c r="G13" s="7">
        <f>F17</f>
        <v/>
      </c>
      <c r="H13" s="7">
        <f>G17</f>
        <v/>
      </c>
    </row>
    <row r="14">
      <c r="A14" t="inlineStr">
        <is>
          <t>NOL used</t>
        </is>
      </c>
      <c r="B14" s="7">
        <f>IF(B12&lt;=0,0,MIN(Inputs!$B$25*B12,B13))</f>
        <v/>
      </c>
      <c r="C14" s="7">
        <f>IF(C12&lt;=0,0,MIN(Inputs!$B$25*C12,C13))</f>
        <v/>
      </c>
      <c r="D14" s="7">
        <f>IF(D12&lt;=0,0,MIN(Inputs!$B$25*D12,D13))</f>
        <v/>
      </c>
      <c r="E14" s="7">
        <f>IF(E12&lt;=0,0,MIN(Inputs!$B$25*E12,E13))</f>
        <v/>
      </c>
      <c r="F14" s="7">
        <f>IF(F12&lt;=0,0,MIN(Inputs!$B$25*F12,F13))</f>
        <v/>
      </c>
      <c r="G14" s="7">
        <f>IF(G12&lt;=0,0,MIN(Inputs!$B$25*G12,G13))</f>
        <v/>
      </c>
      <c r="H14" s="7" t="n">
        <v>0</v>
      </c>
    </row>
    <row r="15">
      <c r="A15" t="inlineStr">
        <is>
          <t>Taxable income</t>
        </is>
      </c>
      <c r="B15" s="7">
        <f>IF(B12&lt;=0,0,B12-B14)</f>
        <v/>
      </c>
      <c r="C15" s="7">
        <f>IF(C12&lt;=0,0,C12-C14)</f>
        <v/>
      </c>
      <c r="D15" s="7">
        <f>IF(D12&lt;=0,0,D12-D14)</f>
        <v/>
      </c>
      <c r="E15" s="7">
        <f>IF(E12&lt;=0,0,E12-E14)</f>
        <v/>
      </c>
      <c r="F15" s="7">
        <f>IF(F12&lt;=0,0,F12-F14)</f>
        <v/>
      </c>
      <c r="G15" s="7">
        <f>IF(G12&lt;=0,0,G12-G14)</f>
        <v/>
      </c>
      <c r="H15" s="7">
        <f>H12</f>
        <v/>
      </c>
    </row>
    <row r="16">
      <c r="A16" t="inlineStr">
        <is>
          <t>Cash taxes</t>
        </is>
      </c>
      <c r="B16" s="7">
        <f>Inputs!$B$21*B15</f>
        <v/>
      </c>
      <c r="C16" s="7">
        <f>Inputs!$C$21*C15</f>
        <v/>
      </c>
      <c r="D16" s="7">
        <f>Inputs!$D$21*D15</f>
        <v/>
      </c>
      <c r="E16" s="7">
        <f>Inputs!$E$21*E15</f>
        <v/>
      </c>
      <c r="F16" s="7">
        <f>Inputs!$F$21*F15</f>
        <v/>
      </c>
      <c r="G16" s="7">
        <f>Inputs!$G$21*G15</f>
        <v/>
      </c>
      <c r="H16" s="7">
        <f>Inputs!$G$21*H15</f>
        <v/>
      </c>
    </row>
    <row r="17">
      <c r="A17" t="inlineStr">
        <is>
          <t>NOL carryforward, closing</t>
        </is>
      </c>
      <c r="B17" s="7">
        <f>IF(B12&lt;=0,B13-B12,B13-B14)</f>
        <v/>
      </c>
      <c r="C17" s="7">
        <f>IF(C12&lt;=0,C13-C12,C13-C14)</f>
        <v/>
      </c>
      <c r="D17" s="7">
        <f>IF(D12&lt;=0,D13-D12,D13-D14)</f>
        <v/>
      </c>
      <c r="E17" s="7">
        <f>IF(E12&lt;=0,E13-E12,E13-E14)</f>
        <v/>
      </c>
      <c r="F17" s="7">
        <f>IF(F12&lt;=0,F13-F12,F13-F14)</f>
        <v/>
      </c>
      <c r="G17" s="7">
        <f>IF(G12&lt;=0,G13-G12,G13-G14)</f>
        <v/>
      </c>
      <c r="H17" s="7">
        <f>H13</f>
        <v/>
      </c>
    </row>
    <row r="18">
      <c r="A18" t="inlineStr">
        <is>
          <t>Effective tax rate</t>
        </is>
      </c>
      <c r="B18" s="5">
        <f>IF(B12=0,0,B16/B12)</f>
        <v/>
      </c>
      <c r="C18" s="5">
        <f>IF(C12=0,0,C16/C12)</f>
        <v/>
      </c>
      <c r="D18" s="5">
        <f>IF(D12=0,0,D16/D12)</f>
        <v/>
      </c>
      <c r="E18" s="5">
        <f>IF(E12=0,0,E16/E12)</f>
        <v/>
      </c>
      <c r="F18" s="5">
        <f>IF(F12=0,0,F16/F12)</f>
        <v/>
      </c>
      <c r="G18" s="5">
        <f>IF(G12=0,0,G16/G12)</f>
        <v/>
      </c>
      <c r="H18" s="5">
        <f>IF(H12=0,0,H16/H12)</f>
        <v/>
      </c>
    </row>
    <row r="19">
      <c r="A19" t="inlineStr">
        <is>
          <t>Free cash flow</t>
        </is>
      </c>
      <c r="B19" s="9">
        <f>B6-B16-B9-B11</f>
        <v/>
      </c>
      <c r="C19" s="9">
        <f>C6-C16-C9-C11</f>
        <v/>
      </c>
      <c r="D19" s="9">
        <f>D6-D16-D9-D11</f>
        <v/>
      </c>
      <c r="E19" s="9">
        <f>E6-E16-E9-E11</f>
        <v/>
      </c>
      <c r="F19" s="9">
        <f>F6-F16-F9-F11</f>
        <v/>
      </c>
      <c r="G19" s="9">
        <f>G6-G16-G9-G11</f>
        <v/>
      </c>
      <c r="H19" s="9">
        <f>H6-H16-H9-H11</f>
        <v/>
      </c>
    </row>
    <row r="20">
      <c r="A20" t="inlineStr">
        <is>
          <t>Discount factor</t>
        </is>
      </c>
      <c r="B20" s="10">
        <f>1/(1+Inputs!$B$24)^1</f>
        <v/>
      </c>
      <c r="C20" s="10">
        <f>1/(1+Inputs!$B$24)^2</f>
        <v/>
      </c>
      <c r="D20" s="10">
        <f>1/(1+Inputs!$B$24)^3</f>
        <v/>
      </c>
      <c r="E20" s="10">
        <f>1/(1+Inputs!$B$24)^4</f>
        <v/>
      </c>
      <c r="F20" s="10">
        <f>1/(1+Inputs!$B$24)^5</f>
        <v/>
      </c>
      <c r="G20" s="10">
        <f>1/(1+Inputs!$B$24)^6</f>
        <v/>
      </c>
      <c r="H20" s="10">
        <f>1/(1+Inputs!$B$24)^7</f>
        <v/>
      </c>
    </row>
    <row r="21">
      <c r="A21" t="inlineStr">
        <is>
          <t>PV of free cash flow</t>
        </is>
      </c>
      <c r="B21" s="7">
        <f>B19*B20</f>
        <v/>
      </c>
      <c r="C21" s="7">
        <f>C19*C20</f>
        <v/>
      </c>
      <c r="D21" s="7">
        <f>D19*D20</f>
        <v/>
      </c>
      <c r="E21" s="7">
        <f>E19*E20</f>
        <v/>
      </c>
      <c r="F21" s="7">
        <f>F19*F20</f>
        <v/>
      </c>
      <c r="G21" s="7">
        <f>G19*G20</f>
        <v/>
      </c>
      <c r="H21" s="7">
        <f>H19*H20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0" customWidth="1" min="1" max="1"/>
    <col width="16" customWidth="1" min="2" max="2"/>
  </cols>
  <sheetData>
    <row r="1">
      <c r="A1" s="1" t="inlineStr">
        <is>
          <t>From enterprise value to the shareholders</t>
        </is>
      </c>
    </row>
    <row r="3">
      <c r="A3" t="inlineStr">
        <is>
          <t>PV of free cash flow, years 1 to 6</t>
        </is>
      </c>
      <c r="B3" s="7">
        <f>SUM(Model!B21:Model!G21)</f>
        <v/>
      </c>
    </row>
    <row r="4">
      <c r="A4" t="inlineStr">
        <is>
          <t>Terminal value at the end of year 6</t>
        </is>
      </c>
      <c r="B4" s="7">
        <f>Model!H19/(Inputs!$B$24-Inputs!$G$6)</f>
        <v/>
      </c>
    </row>
    <row r="5">
      <c r="A5" t="inlineStr">
        <is>
          <t>PV of the terminal value</t>
        </is>
      </c>
      <c r="B5" s="7">
        <f>B4/(1+Inputs!$B$24)^6</f>
        <v/>
      </c>
    </row>
    <row r="6">
      <c r="A6" s="11" t="inlineStr">
        <is>
          <t>Enterprise value of operations</t>
        </is>
      </c>
      <c r="B6" s="9">
        <f>B3+B5</f>
        <v/>
      </c>
    </row>
    <row r="7">
      <c r="A7" t="inlineStr">
        <is>
          <t>PV of remaining NOL carryforward</t>
        </is>
      </c>
      <c r="B7" s="7">
        <f>'NOL schedule'!F206</f>
        <v/>
      </c>
    </row>
    <row r="8">
      <c r="A8" t="inlineStr">
        <is>
          <t>Plus cash</t>
        </is>
      </c>
      <c r="B8" s="7">
        <f>+Inputs!$B$33</f>
        <v/>
      </c>
    </row>
    <row r="9">
      <c r="A9" t="inlineStr">
        <is>
          <t>Plus rental investment property</t>
        </is>
      </c>
      <c r="B9" s="7">
        <f>+Inputs!$B$34</f>
        <v/>
      </c>
    </row>
    <row r="10">
      <c r="A10" t="inlineStr">
        <is>
          <t>Less revolving credit facility</t>
        </is>
      </c>
      <c r="B10" s="7">
        <f>-Inputs!$B$35</f>
        <v/>
      </c>
    </row>
    <row r="11">
      <c r="A11" t="inlineStr">
        <is>
          <t>Less long term debt</t>
        </is>
      </c>
      <c r="B11" s="7">
        <f>-Inputs!$B$36</f>
        <v/>
      </c>
    </row>
    <row r="12">
      <c r="A12" t="inlineStr">
        <is>
          <t>Less bank overdraft</t>
        </is>
      </c>
      <c r="B12" s="7">
        <f>-Inputs!$B$37</f>
        <v/>
      </c>
    </row>
    <row r="13">
      <c r="A13" t="inlineStr">
        <is>
          <t>Less unfunded pension</t>
        </is>
      </c>
      <c r="B13" s="7">
        <f>-Inputs!$B$38</f>
        <v/>
      </c>
    </row>
    <row r="14">
      <c r="A14" s="11" t="inlineStr">
        <is>
          <t>Equity value</t>
        </is>
      </c>
      <c r="B14" s="12">
        <f>B6+B7+SUM(B8:B13)</f>
        <v/>
      </c>
    </row>
    <row r="15">
      <c r="A15" t="inlineStr">
        <is>
          <t>Diluted shares</t>
        </is>
      </c>
      <c r="B15" s="7">
        <f>Inputs!$B$27</f>
        <v/>
      </c>
    </row>
    <row r="16">
      <c r="A16" s="11" t="inlineStr">
        <is>
          <t>Value per share</t>
        </is>
      </c>
      <c r="B16" s="13">
        <f>IF(Inputs!$B$27=0,"",B14/Inputs!$B$27)</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s>
  <sheetData>
    <row r="1">
      <c r="A1" s="1" t="inlineStr">
        <is>
          <t>Sensitivity — value per share</t>
        </is>
      </c>
    </row>
    <row r="2">
      <c r="A2" s="14" t="inlineStr">
        <is>
          <t>A snapshot, not a formula: every cell is a full re-run of the model at different assumptions, which Excel cannot do from a formula. Change an Input and rebuild to refresh this sheet.</t>
        </is>
      </c>
    </row>
    <row r="5">
      <c r="A5" s="3" t="inlineStr">
        <is>
          <t>WACC \ terminal growth</t>
        </is>
      </c>
      <c r="B5" s="15" t="n">
        <v>0.025</v>
      </c>
      <c r="C5" s="15" t="n">
        <v>0.03</v>
      </c>
      <c r="D5" s="15" t="n">
        <v>0.035</v>
      </c>
      <c r="E5" s="15" t="n">
        <v>0.04</v>
      </c>
      <c r="F5" s="15" t="n">
        <v>0.04500000000000001</v>
      </c>
    </row>
    <row r="6">
      <c r="A6" s="16" t="n">
        <v>0.06</v>
      </c>
      <c r="B6" s="17" t="n">
        <v>172.5851537880121</v>
      </c>
      <c r="C6" s="17" t="n">
        <v>193.9992153783798</v>
      </c>
      <c r="D6" s="17" t="n">
        <v>223.9789016048947</v>
      </c>
      <c r="E6" s="17" t="n">
        <v>268.9484309446669</v>
      </c>
      <c r="F6" s="17" t="n">
        <v>343.8976465109546</v>
      </c>
    </row>
    <row r="7">
      <c r="A7" s="16" t="n">
        <v>0.07000000000000001</v>
      </c>
      <c r="B7" s="17" t="n">
        <v>131.8405659839304</v>
      </c>
      <c r="C7" s="17" t="n">
        <v>143.0362531355965</v>
      </c>
      <c r="D7" s="17" t="n">
        <v>157.4307080448814</v>
      </c>
      <c r="E7" s="17" t="n">
        <v>176.6233145905948</v>
      </c>
      <c r="F7" s="17" t="n">
        <v>203.4929637545937</v>
      </c>
    </row>
    <row r="8">
      <c r="A8" s="16" t="n">
        <v>0.08</v>
      </c>
      <c r="B8" s="17" t="n">
        <v>105.9186974605288</v>
      </c>
      <c r="C8" s="17" t="n">
        <v>112.4570490568356</v>
      </c>
      <c r="D8" s="18" t="n">
        <v>120.4483676745438</v>
      </c>
      <c r="E8" s="17" t="n">
        <v>130.4375159466792</v>
      </c>
      <c r="F8" s="17" t="n">
        <v>143.2807065822821</v>
      </c>
    </row>
    <row r="9">
      <c r="A9" s="16" t="n">
        <v>0.09</v>
      </c>
      <c r="B9" s="17" t="n">
        <v>87.97831498119471</v>
      </c>
      <c r="C9" s="17" t="n">
        <v>92.07015593309508</v>
      </c>
      <c r="D9" s="17" t="n">
        <v>96.90596796715916</v>
      </c>
      <c r="E9" s="17" t="n">
        <v>102.7089424080361</v>
      </c>
      <c r="F9" s="17" t="n">
        <v>109.8014667246635</v>
      </c>
    </row>
    <row r="10">
      <c r="A10" s="16" t="n">
        <v>0.1</v>
      </c>
      <c r="B10" s="17" t="n">
        <v>74.82682984417596</v>
      </c>
      <c r="C10" s="17" t="n">
        <v>77.50777331867864</v>
      </c>
      <c r="D10" s="17" t="n">
        <v>80.60116963541253</v>
      </c>
      <c r="E10" s="17" t="n">
        <v>84.21013200493537</v>
      </c>
      <c r="F10" s="17" t="n">
        <v>88.47526935073522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1" t="inlineStr">
        <is>
          <t>Drivers — what actually moves the answer</t>
        </is>
      </c>
    </row>
    <row r="2">
      <c r="A2" s="14" t="inlineStr">
        <is>
          <t>How much a change in each driver moves the equity value, given the baseline assumptions. Each driver is moved by the amount shown in EVERY forecast year at once -- the five explicit years and the perpetuity together, not the perpetuity alone. These are a local measure around the current baseline and will shift somewhat as the assumptions are refined. The percentages are the same for the equity value and for the value per share, since the share count does not move.</t>
        </is>
      </c>
    </row>
    <row r="3">
      <c r="A3" s="14" t="inlineStr">
        <is>
          <t>A snapshot, not a formula: every cell is a full re-run of the model at different assumptions, which Excel cannot do from a formula. Change an Input and rebuild to refresh this sheet.</t>
        </is>
      </c>
    </row>
    <row r="5">
      <c r="A5" s="4" t="inlineStr">
        <is>
          <t>Moved one notch each way, in every year at once</t>
        </is>
      </c>
    </row>
    <row r="6">
      <c r="A6" s="3" t="inlineStr">
        <is>
          <t>Driver</t>
        </is>
      </c>
      <c r="B6" s="3" t="inlineStr">
        <is>
          <t>Notch</t>
        </is>
      </c>
      <c r="C6" s="3" t="inlineStr">
        <is>
          <t>Down</t>
        </is>
      </c>
      <c r="D6" s="3" t="inlineStr">
        <is>
          <t>Base</t>
        </is>
      </c>
      <c r="E6" s="3" t="inlineStr">
        <is>
          <t>Up</t>
        </is>
      </c>
      <c r="F6" s="3" t="inlineStr">
        <is>
          <t>Span</t>
        </is>
      </c>
    </row>
    <row r="7">
      <c r="A7" t="inlineStr">
        <is>
          <t>sales growth</t>
        </is>
      </c>
      <c r="B7" t="inlineStr">
        <is>
          <t>1pp</t>
        </is>
      </c>
      <c r="C7" s="17" t="n">
        <v>102.5405048943746</v>
      </c>
      <c r="D7" s="17" t="n">
        <v>120.4483676745438</v>
      </c>
      <c r="E7" s="17" t="n">
        <v>148.5968137981605</v>
      </c>
      <c r="F7" s="17" t="n">
        <v>46.05630890378586</v>
      </c>
    </row>
    <row r="8">
      <c r="A8" t="inlineStr">
        <is>
          <t>ebitda margin</t>
        </is>
      </c>
      <c r="B8" t="inlineStr">
        <is>
          <t>1pp</t>
        </is>
      </c>
      <c r="C8" s="17" t="n">
        <v>102.5178937686516</v>
      </c>
      <c r="D8" s="17" t="n">
        <v>120.4483676745438</v>
      </c>
      <c r="E8" s="17" t="n">
        <v>138.3788415804361</v>
      </c>
      <c r="F8" s="17" t="n">
        <v>35.86094781178456</v>
      </c>
    </row>
    <row r="9">
      <c r="A9" t="inlineStr">
        <is>
          <t>sales to net ppe</t>
        </is>
      </c>
      <c r="B9" t="inlineStr">
        <is>
          <t>5% of itself</t>
        </is>
      </c>
      <c r="C9" s="17" t="n">
        <v>116.9401293377326</v>
      </c>
      <c r="D9" s="17" t="n">
        <v>120.4483676745438</v>
      </c>
      <c r="E9" s="17" t="n">
        <v>123.6224880745159</v>
      </c>
      <c r="F9" s="17" t="n">
        <v>6.682358736783314</v>
      </c>
    </row>
    <row r="10">
      <c r="A10" t="inlineStr">
        <is>
          <t>depreciation rate</t>
        </is>
      </c>
      <c r="B10" t="inlineStr">
        <is>
          <t>1pp</t>
        </is>
      </c>
      <c r="C10" s="17" t="n">
        <v>123.3675879394337</v>
      </c>
      <c r="D10" s="17" t="n">
        <v>120.4483676745438</v>
      </c>
      <c r="E10" s="17" t="n">
        <v>117.5291474096541</v>
      </c>
      <c r="F10" s="17" t="n">
        <v>5.838440529779604</v>
      </c>
    </row>
    <row r="11">
      <c r="A11" t="inlineStr">
        <is>
          <t>cash tax rate</t>
        </is>
      </c>
      <c r="B11" t="inlineStr">
        <is>
          <t>1pp</t>
        </is>
      </c>
      <c r="C11" s="17" t="n">
        <v>122.5707107721862</v>
      </c>
      <c r="D11" s="17" t="n">
        <v>120.4483676745438</v>
      </c>
      <c r="E11" s="17" t="n">
        <v>118.3260245769014</v>
      </c>
      <c r="F11" s="17" t="n">
        <v>4.244686195284828</v>
      </c>
    </row>
    <row r="12">
      <c r="A12" t="inlineStr">
        <is>
          <t>receivables</t>
        </is>
      </c>
      <c r="B12" t="inlineStr">
        <is>
          <t>1pp</t>
        </is>
      </c>
      <c r="C12" s="17" t="n">
        <v>122.2677967872676</v>
      </c>
      <c r="D12" s="17" t="n">
        <v>120.4483676745438</v>
      </c>
      <c r="E12" s="17" t="n">
        <v>118.6289385618202</v>
      </c>
      <c r="F12" s="17" t="n">
        <v>3.63885822544745</v>
      </c>
    </row>
    <row r="13">
      <c r="A13" t="inlineStr">
        <is>
          <t>inventories</t>
        </is>
      </c>
      <c r="B13" t="inlineStr">
        <is>
          <t>1pp</t>
        </is>
      </c>
      <c r="C13" s="17" t="n">
        <v>122.2677967872676</v>
      </c>
      <c r="D13" s="17" t="n">
        <v>120.4483676745438</v>
      </c>
      <c r="E13" s="17" t="n">
        <v>118.6289385618202</v>
      </c>
      <c r="F13" s="17" t="n">
        <v>3.63885822544745</v>
      </c>
    </row>
    <row r="14">
      <c r="A14" t="inlineStr">
        <is>
          <t>prepaid</t>
        </is>
      </c>
      <c r="B14" t="inlineStr">
        <is>
          <t>1pp</t>
        </is>
      </c>
      <c r="C14" s="17" t="n">
        <v>122.2677967872676</v>
      </c>
      <c r="D14" s="17" t="n">
        <v>120.4483676745438</v>
      </c>
      <c r="E14" s="17" t="n">
        <v>118.6289385618202</v>
      </c>
      <c r="F14" s="17" t="n">
        <v>3.63885822544745</v>
      </c>
    </row>
    <row r="15">
      <c r="A15" t="inlineStr">
        <is>
          <t>payables</t>
        </is>
      </c>
      <c r="B15" t="inlineStr">
        <is>
          <t>1pp</t>
        </is>
      </c>
      <c r="C15" s="17" t="n">
        <v>118.6289385618202</v>
      </c>
      <c r="D15" s="17" t="n">
        <v>120.4483676745438</v>
      </c>
      <c r="E15" s="17" t="n">
        <v>122.2677967872676</v>
      </c>
      <c r="F15" s="17" t="n">
        <v>3.638858225447407</v>
      </c>
    </row>
    <row r="16">
      <c r="A16" t="inlineStr">
        <is>
          <t>accrued payroll</t>
        </is>
      </c>
      <c r="B16" t="inlineStr">
        <is>
          <t>1pp</t>
        </is>
      </c>
      <c r="C16" s="17" t="n">
        <v>118.6289385618202</v>
      </c>
      <c r="D16" s="17" t="n">
        <v>120.4483676745438</v>
      </c>
      <c r="E16" s="17" t="n">
        <v>122.2677967872676</v>
      </c>
      <c r="F16" s="17" t="n">
        <v>3.638858225447407</v>
      </c>
    </row>
    <row r="17">
      <c r="A17" t="inlineStr">
        <is>
          <t>other accrued</t>
        </is>
      </c>
      <c r="B17" t="inlineStr">
        <is>
          <t>1pp</t>
        </is>
      </c>
      <c r="C17" s="17" t="n">
        <v>118.6289385618202</v>
      </c>
      <c r="D17" s="17" t="n">
        <v>120.4483676745438</v>
      </c>
      <c r="E17" s="17" t="n">
        <v>122.2677967872676</v>
      </c>
      <c r="F17" s="17" t="n">
        <v>3.638858225447407</v>
      </c>
    </row>
    <row r="18">
      <c r="A18" t="inlineStr">
        <is>
          <t>workers comp</t>
        </is>
      </c>
      <c r="B18" t="inlineStr">
        <is>
          <t>1pp</t>
        </is>
      </c>
      <c r="C18" s="17" t="n">
        <v>118.6289385618202</v>
      </c>
      <c r="D18" s="17" t="n">
        <v>120.4483676745438</v>
      </c>
      <c r="E18" s="17" t="n">
        <v>122.2677967872676</v>
      </c>
      <c r="F18" s="17" t="n">
        <v>3.638858225447407</v>
      </c>
    </row>
    <row r="21">
      <c r="A21" s="4" t="inlineStr">
        <is>
          <t>One-way tables, two notches each way</t>
        </is>
      </c>
    </row>
    <row r="22">
      <c r="A22" s="2" t="inlineStr">
        <is>
          <t>The notch is applied to every forecast year. The level row shows where the terminal ends up; the explicit years move by the same amount.</t>
        </is>
      </c>
    </row>
    <row r="24">
      <c r="A24" s="11" t="inlineStr">
        <is>
          <t>sales growth</t>
        </is>
      </c>
      <c r="B24" s="3" t="inlineStr">
        <is>
          <t>-2</t>
        </is>
      </c>
      <c r="C24" s="3" t="inlineStr">
        <is>
          <t>-1</t>
        </is>
      </c>
      <c r="D24" s="3" t="inlineStr">
        <is>
          <t>base</t>
        </is>
      </c>
      <c r="E24" s="3" t="inlineStr">
        <is>
          <t>+1</t>
        </is>
      </c>
      <c r="F24" s="3" t="inlineStr">
        <is>
          <t>+2</t>
        </is>
      </c>
    </row>
    <row r="25">
      <c r="A25" t="inlineStr">
        <is>
          <t>terminal level (explicit years move too)</t>
        </is>
      </c>
      <c r="B25" s="5" t="n">
        <v>0.015</v>
      </c>
      <c r="C25" s="5" t="n">
        <v>0.025</v>
      </c>
      <c r="D25" s="5" t="n">
        <v>0.035</v>
      </c>
      <c r="E25" s="5" t="n">
        <v>0.04500000000000001</v>
      </c>
      <c r="F25" s="5" t="n">
        <v>0.05500000000000001</v>
      </c>
    </row>
    <row r="26">
      <c r="A26" t="inlineStr">
        <is>
          <t>value per share</t>
        </is>
      </c>
      <c r="B26" s="17" t="n">
        <v>90.14652108414508</v>
      </c>
      <c r="C26" s="17" t="n">
        <v>102.5405048943746</v>
      </c>
      <c r="D26" s="17" t="n">
        <v>120.4483676745438</v>
      </c>
      <c r="E26" s="17" t="n">
        <v>148.5968137981605</v>
      </c>
      <c r="F26" s="17" t="n">
        <v>199.2752879561059</v>
      </c>
    </row>
    <row r="28">
      <c r="A28" s="11" t="inlineStr">
        <is>
          <t>ebitda margin</t>
        </is>
      </c>
      <c r="B28" s="3" t="inlineStr">
        <is>
          <t>-2</t>
        </is>
      </c>
      <c r="C28" s="3" t="inlineStr">
        <is>
          <t>-1</t>
        </is>
      </c>
      <c r="D28" s="3" t="inlineStr">
        <is>
          <t>base</t>
        </is>
      </c>
      <c r="E28" s="3" t="inlineStr">
        <is>
          <t>+1</t>
        </is>
      </c>
      <c r="F28" s="3" t="inlineStr">
        <is>
          <t>+2</t>
        </is>
      </c>
    </row>
    <row r="29">
      <c r="A29" t="inlineStr">
        <is>
          <t>terminal level (explicit years move too)</t>
        </is>
      </c>
      <c r="B29" s="5" t="n">
        <v>0.08800000000000001</v>
      </c>
      <c r="C29" s="5" t="n">
        <v>0.09800000000000002</v>
      </c>
      <c r="D29" s="5" t="n">
        <v>0.108</v>
      </c>
      <c r="E29" s="5" t="n">
        <v>0.118</v>
      </c>
      <c r="F29" s="5" t="n">
        <v>0.128</v>
      </c>
    </row>
    <row r="30">
      <c r="A30" t="inlineStr">
        <is>
          <t>value per share</t>
        </is>
      </c>
      <c r="B30" s="17" t="n">
        <v>84.58741986275926</v>
      </c>
      <c r="C30" s="17" t="n">
        <v>102.5178937686516</v>
      </c>
      <c r="D30" s="17" t="n">
        <v>120.4483676745438</v>
      </c>
      <c r="E30" s="17" t="n">
        <v>138.3788415804361</v>
      </c>
      <c r="F30" s="17" t="n">
        <v>156.3093154863284</v>
      </c>
    </row>
    <row r="32">
      <c r="A32" s="11" t="inlineStr">
        <is>
          <t>sales to net ppe</t>
        </is>
      </c>
      <c r="B32" s="3" t="inlineStr">
        <is>
          <t>-10</t>
        </is>
      </c>
      <c r="C32" s="3" t="inlineStr">
        <is>
          <t>-5</t>
        </is>
      </c>
      <c r="D32" s="3" t="inlineStr">
        <is>
          <t>base</t>
        </is>
      </c>
      <c r="E32" s="3" t="inlineStr">
        <is>
          <t>+5</t>
        </is>
      </c>
      <c r="F32" s="3" t="inlineStr">
        <is>
          <t>+10</t>
        </is>
      </c>
    </row>
    <row r="33">
      <c r="A33" t="inlineStr">
        <is>
          <t>terminal level (explicit years move too)</t>
        </is>
      </c>
      <c r="B33" s="6" t="n">
        <v>5.67</v>
      </c>
      <c r="C33" s="6" t="n">
        <v>5.984999999999999</v>
      </c>
      <c r="D33" s="6" t="n">
        <v>6.3</v>
      </c>
      <c r="E33" s="6" t="n">
        <v>6.615</v>
      </c>
      <c r="F33" s="6" t="n">
        <v>6.930000000000001</v>
      </c>
    </row>
    <row r="34">
      <c r="A34" t="inlineStr">
        <is>
          <t>value per share</t>
        </is>
      </c>
      <c r="B34" s="17" t="n">
        <v>113.0420867412758</v>
      </c>
      <c r="C34" s="17" t="n">
        <v>116.9401293377326</v>
      </c>
      <c r="D34" s="17" t="n">
        <v>120.4483676745438</v>
      </c>
      <c r="E34" s="17" t="n">
        <v>123.6224880745159</v>
      </c>
      <c r="F34" s="17" t="n">
        <v>126.5080520744905</v>
      </c>
    </row>
    <row r="36">
      <c r="A36" s="11" t="inlineStr">
        <is>
          <t>depreciation rate</t>
        </is>
      </c>
      <c r="B36" s="3" t="inlineStr">
        <is>
          <t>-2</t>
        </is>
      </c>
      <c r="C36" s="3" t="inlineStr">
        <is>
          <t>-1</t>
        </is>
      </c>
      <c r="D36" s="3" t="inlineStr">
        <is>
          <t>base</t>
        </is>
      </c>
      <c r="E36" s="3" t="inlineStr">
        <is>
          <t>+1</t>
        </is>
      </c>
      <c r="F36" s="3" t="inlineStr">
        <is>
          <t>+2</t>
        </is>
      </c>
    </row>
    <row r="37">
      <c r="A37" t="inlineStr">
        <is>
          <t>terminal level (explicit years move too)</t>
        </is>
      </c>
      <c r="B37" s="5" t="n">
        <v>0.11</v>
      </c>
      <c r="C37" s="5" t="n">
        <v>0.12</v>
      </c>
      <c r="D37" s="5" t="n">
        <v>0.13</v>
      </c>
      <c r="E37" s="5" t="n">
        <v>0.14</v>
      </c>
      <c r="F37" s="5" t="n">
        <v>0.15</v>
      </c>
    </row>
    <row r="38">
      <c r="A38" t="inlineStr">
        <is>
          <t>value per share</t>
        </is>
      </c>
      <c r="B38" s="17" t="n">
        <v>126.2868082043234</v>
      </c>
      <c r="C38" s="17" t="n">
        <v>123.3675879394337</v>
      </c>
      <c r="D38" s="17" t="n">
        <v>120.4483676745438</v>
      </c>
      <c r="E38" s="17" t="n">
        <v>117.5291474096541</v>
      </c>
      <c r="F38" s="17" t="n">
        <v>114.6099271447643</v>
      </c>
    </row>
    <row r="40">
      <c r="A40" s="11" t="inlineStr">
        <is>
          <t>cash tax rate</t>
        </is>
      </c>
      <c r="B40" s="3" t="inlineStr">
        <is>
          <t>-2</t>
        </is>
      </c>
      <c r="C40" s="3" t="inlineStr">
        <is>
          <t>-1</t>
        </is>
      </c>
      <c r="D40" s="3" t="inlineStr">
        <is>
          <t>base</t>
        </is>
      </c>
      <c r="E40" s="3" t="inlineStr">
        <is>
          <t>+1</t>
        </is>
      </c>
      <c r="F40" s="3" t="inlineStr">
        <is>
          <t>+2</t>
        </is>
      </c>
    </row>
    <row r="41">
      <c r="A41" t="inlineStr">
        <is>
          <t>terminal level (explicit years move too)</t>
        </is>
      </c>
      <c r="B41" s="5" t="n">
        <v>0.25</v>
      </c>
      <c r="C41" s="5" t="n">
        <v>0.26</v>
      </c>
      <c r="D41" s="5" t="n">
        <v>0.27</v>
      </c>
      <c r="E41" s="5" t="n">
        <v>0.28</v>
      </c>
      <c r="F41" s="5" t="n">
        <v>0.29</v>
      </c>
    </row>
    <row r="42">
      <c r="A42" t="inlineStr">
        <is>
          <t>value per share</t>
        </is>
      </c>
      <c r="B42" s="17" t="n">
        <v>124.6930538698287</v>
      </c>
      <c r="C42" s="17" t="n">
        <v>122.5707107721862</v>
      </c>
      <c r="D42" s="17" t="n">
        <v>120.4483676745438</v>
      </c>
      <c r="E42" s="17" t="n">
        <v>118.3260245769014</v>
      </c>
      <c r="F42" s="17" t="n">
        <v>116.203681479259</v>
      </c>
    </row>
    <row r="44">
      <c r="A44" s="11" t="inlineStr">
        <is>
          <t>receivables</t>
        </is>
      </c>
      <c r="B44" s="3" t="inlineStr">
        <is>
          <t>-2</t>
        </is>
      </c>
      <c r="C44" s="3" t="inlineStr">
        <is>
          <t>-1</t>
        </is>
      </c>
      <c r="D44" s="3" t="inlineStr">
        <is>
          <t>base</t>
        </is>
      </c>
      <c r="E44" s="3" t="inlineStr">
        <is>
          <t>+1</t>
        </is>
      </c>
      <c r="F44" s="3" t="inlineStr">
        <is>
          <t>+2</t>
        </is>
      </c>
    </row>
    <row r="45">
      <c r="A45" t="inlineStr">
        <is>
          <t>terminal level (explicit years move too)</t>
        </is>
      </c>
      <c r="B45" s="5" t="n">
        <v>0.05</v>
      </c>
      <c r="C45" s="5" t="n">
        <v>0.06</v>
      </c>
      <c r="D45" s="5" t="n">
        <v>0.07000000000000001</v>
      </c>
      <c r="E45" s="5" t="n">
        <v>0.08</v>
      </c>
      <c r="F45" s="5" t="n">
        <v>0.09000000000000001</v>
      </c>
    </row>
    <row r="46">
      <c r="A46" t="inlineStr">
        <is>
          <t>value per share</t>
        </is>
      </c>
      <c r="B46" s="17" t="n">
        <v>124.0872258999913</v>
      </c>
      <c r="C46" s="17" t="n">
        <v>122.2677967872676</v>
      </c>
      <c r="D46" s="17" t="n">
        <v>120.4483676745438</v>
      </c>
      <c r="E46" s="17" t="n">
        <v>118.6289385618202</v>
      </c>
      <c r="F46" s="17" t="n">
        <v>116.8095094490964</v>
      </c>
    </row>
    <row r="48">
      <c r="A48" s="11" t="inlineStr">
        <is>
          <t>inventories</t>
        </is>
      </c>
      <c r="B48" s="3" t="inlineStr">
        <is>
          <t>-2</t>
        </is>
      </c>
      <c r="C48" s="3" t="inlineStr">
        <is>
          <t>-1</t>
        </is>
      </c>
      <c r="D48" s="3" t="inlineStr">
        <is>
          <t>base</t>
        </is>
      </c>
      <c r="E48" s="3" t="inlineStr">
        <is>
          <t>+1</t>
        </is>
      </c>
      <c r="F48" s="3" t="inlineStr">
        <is>
          <t>+2</t>
        </is>
      </c>
    </row>
    <row r="49">
      <c r="A49" t="inlineStr">
        <is>
          <t>terminal level (explicit years move too)</t>
        </is>
      </c>
      <c r="B49" s="5" t="n">
        <v>0.175</v>
      </c>
      <c r="C49" s="5" t="n">
        <v>0.185</v>
      </c>
      <c r="D49" s="5" t="n">
        <v>0.195</v>
      </c>
      <c r="E49" s="5" t="n">
        <v>0.205</v>
      </c>
      <c r="F49" s="5" t="n">
        <v>0.215</v>
      </c>
    </row>
    <row r="50">
      <c r="A50" t="inlineStr">
        <is>
          <t>value per share</t>
        </is>
      </c>
      <c r="B50" s="17" t="n">
        <v>124.0872258999913</v>
      </c>
      <c r="C50" s="17" t="n">
        <v>122.2677967872676</v>
      </c>
      <c r="D50" s="17" t="n">
        <v>120.4483676745438</v>
      </c>
      <c r="E50" s="17" t="n">
        <v>118.6289385618202</v>
      </c>
      <c r="F50" s="17" t="n">
        <v>116.8095094490964</v>
      </c>
    </row>
    <row r="52">
      <c r="A52" s="11" t="inlineStr">
        <is>
          <t>prepaid</t>
        </is>
      </c>
      <c r="B52" s="3" t="inlineStr">
        <is>
          <t>-2</t>
        </is>
      </c>
      <c r="C52" s="3" t="inlineStr">
        <is>
          <t>-1</t>
        </is>
      </c>
      <c r="D52" s="3" t="inlineStr">
        <is>
          <t>base</t>
        </is>
      </c>
      <c r="E52" s="3" t="inlineStr">
        <is>
          <t>+1</t>
        </is>
      </c>
      <c r="F52" s="3" t="inlineStr">
        <is>
          <t>+2</t>
        </is>
      </c>
    </row>
    <row r="53">
      <c r="A53" t="inlineStr">
        <is>
          <t>terminal level (explicit years move too)</t>
        </is>
      </c>
      <c r="B53" s="5" t="n">
        <v>-0.008</v>
      </c>
      <c r="C53" s="5" t="n">
        <v>0.002</v>
      </c>
      <c r="D53" s="5" t="n">
        <v>0.012</v>
      </c>
      <c r="E53" s="5" t="n">
        <v>0.022</v>
      </c>
      <c r="F53" s="5" t="n">
        <v>0.032</v>
      </c>
    </row>
    <row r="54">
      <c r="A54" t="inlineStr">
        <is>
          <t>value per share</t>
        </is>
      </c>
      <c r="B54" s="17" t="n">
        <v>124.0872258999913</v>
      </c>
      <c r="C54" s="17" t="n">
        <v>122.2677967872676</v>
      </c>
      <c r="D54" s="17" t="n">
        <v>120.4483676745438</v>
      </c>
      <c r="E54" s="17" t="n">
        <v>118.6289385618202</v>
      </c>
      <c r="F54" s="17" t="n">
        <v>116.8095094490964</v>
      </c>
    </row>
    <row r="56">
      <c r="A56" s="11" t="inlineStr">
        <is>
          <t>payables</t>
        </is>
      </c>
      <c r="B56" s="3" t="inlineStr">
        <is>
          <t>-2</t>
        </is>
      </c>
      <c r="C56" s="3" t="inlineStr">
        <is>
          <t>-1</t>
        </is>
      </c>
      <c r="D56" s="3" t="inlineStr">
        <is>
          <t>base</t>
        </is>
      </c>
      <c r="E56" s="3" t="inlineStr">
        <is>
          <t>+1</t>
        </is>
      </c>
      <c r="F56" s="3" t="inlineStr">
        <is>
          <t>+2</t>
        </is>
      </c>
    </row>
    <row r="57">
      <c r="A57" t="inlineStr">
        <is>
          <t>terminal level (explicit years move too)</t>
        </is>
      </c>
      <c r="B57" s="5" t="n">
        <v>0.035</v>
      </c>
      <c r="C57" s="5" t="n">
        <v>0.045</v>
      </c>
      <c r="D57" s="5" t="n">
        <v>0.055</v>
      </c>
      <c r="E57" s="5" t="n">
        <v>0.065</v>
      </c>
      <c r="F57" s="5" t="n">
        <v>0.075</v>
      </c>
    </row>
    <row r="58">
      <c r="A58" t="inlineStr">
        <is>
          <t>value per share</t>
        </is>
      </c>
      <c r="B58" s="17" t="n">
        <v>116.8095094490964</v>
      </c>
      <c r="C58" s="17" t="n">
        <v>118.6289385618202</v>
      </c>
      <c r="D58" s="17" t="n">
        <v>120.4483676745438</v>
      </c>
      <c r="E58" s="17" t="n">
        <v>122.2677967872676</v>
      </c>
      <c r="F58" s="17" t="n">
        <v>124.0872258999913</v>
      </c>
    </row>
    <row r="60">
      <c r="A60" s="11" t="inlineStr">
        <is>
          <t>accrued payroll</t>
        </is>
      </c>
      <c r="B60" s="3" t="inlineStr">
        <is>
          <t>-2</t>
        </is>
      </c>
      <c r="C60" s="3" t="inlineStr">
        <is>
          <t>-1</t>
        </is>
      </c>
      <c r="D60" s="3" t="inlineStr">
        <is>
          <t>base</t>
        </is>
      </c>
      <c r="E60" s="3" t="inlineStr">
        <is>
          <t>+1</t>
        </is>
      </c>
      <c r="F60" s="3" t="inlineStr">
        <is>
          <t>+2</t>
        </is>
      </c>
    </row>
    <row r="61">
      <c r="A61" t="inlineStr">
        <is>
          <t>terminal level (explicit years move too)</t>
        </is>
      </c>
      <c r="B61" s="5" t="n">
        <v>0.006000000000000002</v>
      </c>
      <c r="C61" s="5" t="n">
        <v>0.016</v>
      </c>
      <c r="D61" s="5" t="n">
        <v>0.026</v>
      </c>
      <c r="E61" s="5" t="n">
        <v>0.036</v>
      </c>
      <c r="F61" s="5" t="n">
        <v>0.046</v>
      </c>
    </row>
    <row r="62">
      <c r="A62" t="inlineStr">
        <is>
          <t>value per share</t>
        </is>
      </c>
      <c r="B62" s="17" t="n">
        <v>116.8095094490964</v>
      </c>
      <c r="C62" s="17" t="n">
        <v>118.6289385618202</v>
      </c>
      <c r="D62" s="17" t="n">
        <v>120.4483676745438</v>
      </c>
      <c r="E62" s="17" t="n">
        <v>122.2677967872676</v>
      </c>
      <c r="F62" s="17" t="n">
        <v>124.0872258999913</v>
      </c>
    </row>
    <row r="64">
      <c r="A64" s="11" t="inlineStr">
        <is>
          <t>other accrued</t>
        </is>
      </c>
      <c r="B64" s="3" t="inlineStr">
        <is>
          <t>-2</t>
        </is>
      </c>
      <c r="C64" s="3" t="inlineStr">
        <is>
          <t>-1</t>
        </is>
      </c>
      <c r="D64" s="3" t="inlineStr">
        <is>
          <t>base</t>
        </is>
      </c>
      <c r="E64" s="3" t="inlineStr">
        <is>
          <t>+1</t>
        </is>
      </c>
      <c r="F64" s="3" t="inlineStr">
        <is>
          <t>+2</t>
        </is>
      </c>
    </row>
    <row r="65">
      <c r="A65" t="inlineStr">
        <is>
          <t>terminal level (explicit years move too)</t>
        </is>
      </c>
      <c r="B65" s="5" t="n">
        <v>-0.004</v>
      </c>
      <c r="C65" s="5" t="n">
        <v>0.006</v>
      </c>
      <c r="D65" s="5" t="n">
        <v>0.016</v>
      </c>
      <c r="E65" s="5" t="n">
        <v>0.026</v>
      </c>
      <c r="F65" s="5" t="n">
        <v>0.036</v>
      </c>
    </row>
    <row r="66">
      <c r="A66" t="inlineStr">
        <is>
          <t>value per share</t>
        </is>
      </c>
      <c r="B66" s="17" t="n">
        <v>116.8095094490964</v>
      </c>
      <c r="C66" s="17" t="n">
        <v>118.6289385618202</v>
      </c>
      <c r="D66" s="17" t="n">
        <v>120.4483676745438</v>
      </c>
      <c r="E66" s="17" t="n">
        <v>122.2677967872676</v>
      </c>
      <c r="F66" s="17" t="n">
        <v>124.0872258999913</v>
      </c>
    </row>
    <row r="68">
      <c r="A68" s="11" t="inlineStr">
        <is>
          <t>workers comp</t>
        </is>
      </c>
      <c r="B68" s="3" t="inlineStr">
        <is>
          <t>-2</t>
        </is>
      </c>
      <c r="C68" s="3" t="inlineStr">
        <is>
          <t>-1</t>
        </is>
      </c>
      <c r="D68" s="3" t="inlineStr">
        <is>
          <t>base</t>
        </is>
      </c>
      <c r="E68" s="3" t="inlineStr">
        <is>
          <t>+1</t>
        </is>
      </c>
      <c r="F68" s="3" t="inlineStr">
        <is>
          <t>+2</t>
        </is>
      </c>
    </row>
    <row r="69">
      <c r="A69" t="inlineStr">
        <is>
          <t>terminal level (explicit years move too)</t>
        </is>
      </c>
      <c r="B69" s="5" t="n">
        <v>-0.011</v>
      </c>
      <c r="C69" s="5" t="n">
        <v>-0.0009999999999999992</v>
      </c>
      <c r="D69" s="5" t="n">
        <v>0.009000000000000001</v>
      </c>
      <c r="E69" s="5" t="n">
        <v>0.019</v>
      </c>
      <c r="F69" s="5" t="n">
        <v>0.029</v>
      </c>
    </row>
    <row r="70">
      <c r="A70" t="inlineStr">
        <is>
          <t>value per share</t>
        </is>
      </c>
      <c r="B70" s="17" t="n">
        <v>116.8095094490964</v>
      </c>
      <c r="C70" s="17" t="n">
        <v>118.6289385618202</v>
      </c>
      <c r="D70" s="17" t="n">
        <v>120.4483676745438</v>
      </c>
      <c r="E70" s="17" t="n">
        <v>122.2677967872676</v>
      </c>
      <c r="F70" s="17" t="n">
        <v>124.0872258999913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8" customWidth="1" min="1" max="1"/>
  </cols>
  <sheetData>
    <row r="1">
      <c r="A1" s="1" t="inlineStr">
        <is>
          <t>Historical driver ratios</t>
        </is>
      </c>
    </row>
    <row r="3">
      <c r="A3" s="3" t="inlineStr">
        <is>
          <t>Ratio</t>
        </is>
      </c>
      <c r="B3" s="3" t="n">
        <v>2021</v>
      </c>
      <c r="C3" s="3" t="n">
        <v>2022</v>
      </c>
      <c r="D3" s="3" t="n">
        <v>2023</v>
      </c>
      <c r="E3" s="3" t="n">
        <v>2024</v>
      </c>
      <c r="F3" s="3" t="n">
        <v>2025</v>
      </c>
      <c r="G3" s="3" t="n">
        <v>2026</v>
      </c>
    </row>
    <row r="4">
      <c r="A4" t="inlineStr">
        <is>
          <t>sales_growth</t>
        </is>
      </c>
      <c r="C4" t="n">
        <v>0.1134397692671483</v>
      </c>
      <c r="D4" t="n">
        <v>0.0458410575518795</v>
      </c>
      <c r="E4" t="n">
        <v>0.06711807507557377</v>
      </c>
      <c r="F4" t="n">
        <v>0.03792992576747101</v>
      </c>
      <c r="G4" t="n">
        <v>0.06179927495786841</v>
      </c>
    </row>
    <row r="5">
      <c r="A5" t="inlineStr">
        <is>
          <t>ebitda_margin</t>
        </is>
      </c>
      <c r="B5" t="n">
        <v>0.1205453346721306</v>
      </c>
      <c r="C5" t="n">
        <v>0.1106041838412835</v>
      </c>
      <c r="D5" t="n">
        <v>0.1107717823396547</v>
      </c>
      <c r="E5" t="n">
        <v>0.1028962778746943</v>
      </c>
      <c r="F5" t="n">
        <v>0.1008276390251128</v>
      </c>
      <c r="G5" t="n">
        <v>0.09985429622012243</v>
      </c>
    </row>
    <row r="6">
      <c r="A6" t="inlineStr">
        <is>
          <t>sales_to_net_ppe</t>
        </is>
      </c>
      <c r="B6" t="n">
        <v>8.164508524377327</v>
      </c>
      <c r="C6" t="n">
        <v>8.538413576925377</v>
      </c>
      <c r="D6" t="n">
        <v>8.831204417328244</v>
      </c>
      <c r="E6" t="n">
        <v>7.322232288697699</v>
      </c>
      <c r="F6" t="n">
        <v>7.118862360656135</v>
      </c>
    </row>
    <row r="7">
      <c r="A7" t="inlineStr">
        <is>
          <t>depreciation_rate</t>
        </is>
      </c>
      <c r="C7" t="n">
        <v>0.1561891420957327</v>
      </c>
      <c r="D7" t="n">
        <v>0.1752034915998326</v>
      </c>
      <c r="E7" t="n">
        <v>0.2034901529011482</v>
      </c>
      <c r="F7" t="n">
        <v>0.1780884424370276</v>
      </c>
      <c r="G7" t="n">
        <v>0.1707427837891843</v>
      </c>
    </row>
    <row r="8">
      <c r="A8" t="inlineStr">
        <is>
          <t>cash_tax_rate</t>
        </is>
      </c>
      <c r="B8" t="n">
        <v>0.2752101629937734</v>
      </c>
      <c r="C8" t="n">
        <v>0.2604533881707795</v>
      </c>
      <c r="D8" t="n">
        <v>0.274481546572935</v>
      </c>
      <c r="E8" t="n">
        <v>0.2778938414001026</v>
      </c>
      <c r="F8" t="n">
        <v>0.2714441661850639</v>
      </c>
    </row>
    <row r="9">
      <c r="A9" t="inlineStr">
        <is>
          <t>realized_capex</t>
        </is>
      </c>
      <c r="C9" t="n">
        <v>18291</v>
      </c>
      <c r="D9" t="n">
        <v>24229</v>
      </c>
      <c r="E9" t="n">
        <v>55001</v>
      </c>
      <c r="F9" t="n">
        <v>40862</v>
      </c>
      <c r="G9" t="n">
        <v>106751</v>
      </c>
    </row>
    <row r="10">
      <c r="A10" t="inlineStr">
        <is>
          <t>operating_assets: receivables</t>
        </is>
      </c>
      <c r="B10" t="n">
        <v>0.07726894681542537</v>
      </c>
      <c r="C10" t="n">
        <v>0.07282490887863177</v>
      </c>
      <c r="D10" t="n">
        <v>0.07275684564953395</v>
      </c>
      <c r="E10" t="n">
        <v>0.07964131411917888</v>
      </c>
      <c r="F10" t="n">
        <v>0.06923122774884714</v>
      </c>
      <c r="G10" t="n">
        <v>0.071712117229876</v>
      </c>
    </row>
    <row r="11">
      <c r="A11" t="inlineStr">
        <is>
          <t>operating_assets: inventories</t>
        </is>
      </c>
      <c r="B11" t="n">
        <v>0.1723949948863226</v>
      </c>
      <c r="C11" t="n">
        <v>0.2143130641469324</v>
      </c>
      <c r="D11" t="n">
        <v>0.1729903189601535</v>
      </c>
      <c r="E11" t="n">
        <v>0.1842577168927514</v>
      </c>
      <c r="F11" t="n">
        <v>0.2299398688277041</v>
      </c>
      <c r="G11" t="n">
        <v>0.2090938551791187</v>
      </c>
    </row>
    <row r="12">
      <c r="A12" t="inlineStr">
        <is>
          <t>operating_assets: prepaid</t>
        </is>
      </c>
      <c r="B12" t="n">
        <v>0.009980407277030852</v>
      </c>
      <c r="C12" t="n">
        <v>0.008665422422342833</v>
      </c>
      <c r="D12" t="n">
        <v>0.006814139639846912</v>
      </c>
      <c r="E12" t="n">
        <v>0.01132189020634937</v>
      </c>
      <c r="F12" t="n">
        <v>0.01317051495331661</v>
      </c>
      <c r="G12" t="n">
        <v>0.01533419581805485</v>
      </c>
    </row>
    <row r="13">
      <c r="A13" t="inlineStr">
        <is>
          <t>operating_liabilities: payables</t>
        </is>
      </c>
      <c r="B13" t="n">
        <v>0.05691557889390808</v>
      </c>
      <c r="C13" t="n">
        <v>0.04992321115467826</v>
      </c>
      <c r="D13" t="n">
        <v>0.04269340572939903</v>
      </c>
      <c r="E13" t="n">
        <v>0.0500907869735457</v>
      </c>
      <c r="F13" t="n">
        <v>0.05462110497576871</v>
      </c>
      <c r="G13" t="n">
        <v>0.06161407125961045</v>
      </c>
    </row>
    <row r="14">
      <c r="A14" t="inlineStr">
        <is>
          <t>operating_liabilities: accrued_payroll</t>
        </is>
      </c>
      <c r="B14" t="n">
        <v>0.02808329120470784</v>
      </c>
      <c r="C14" t="n">
        <v>0.01976005055091289</v>
      </c>
      <c r="D14" t="n">
        <v>0.02758066032734278</v>
      </c>
      <c r="E14" t="n">
        <v>0.0333722978337675</v>
      </c>
      <c r="F14" t="n">
        <v>0.01665935121915094</v>
      </c>
      <c r="G14" t="n">
        <v>0.02947248086840474</v>
      </c>
    </row>
    <row r="15">
      <c r="A15" t="inlineStr">
        <is>
          <t>operating_liabilities: other_accrued</t>
        </is>
      </c>
      <c r="B15" t="n">
        <v>0.01585705932098751</v>
      </c>
      <c r="C15" t="n">
        <v>0.01292228634079183</v>
      </c>
      <c r="D15" t="n">
        <v>0.01448354783401988</v>
      </c>
      <c r="E15" t="n">
        <v>0.01424938342662003</v>
      </c>
      <c r="F15" t="n">
        <v>0.01652929881887133</v>
      </c>
      <c r="G15" t="n">
        <v>0.0178119255949571</v>
      </c>
    </row>
    <row r="16">
      <c r="A16" t="inlineStr">
        <is>
          <t>operating_liabilities: workers_comp</t>
        </is>
      </c>
      <c r="C16" t="n">
        <v>0.007911134173337742</v>
      </c>
      <c r="D16" t="n">
        <v>0.007323299516048039</v>
      </c>
      <c r="E16" t="n">
        <v>0.007192653051276595</v>
      </c>
      <c r="F16" t="n">
        <v>0.009576011112255091</v>
      </c>
      <c r="G16" t="n">
        <v>0.009063744765763949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6"/>
  <sheetViews>
    <sheetView workbookViewId="0">
      <selection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Tax shield on the carryforward surviving year 6</t>
        </is>
      </c>
    </row>
    <row r="2">
      <c r="A2" s="2" t="inlineStr">
        <is>
          <t>Year 7 onward is taxed at the full rate in the perpetuity, so the shield is valued here instead and added to the bridge.</t>
        </is>
      </c>
    </row>
    <row r="4">
      <c r="A4" s="3" t="inlineStr">
        <is>
          <t>Year</t>
        </is>
      </c>
      <c r="B4" s="3" t="inlineStr">
        <is>
          <t>EBIT</t>
        </is>
      </c>
      <c r="C4" s="3" t="inlineStr">
        <is>
          <t>Opening balance</t>
        </is>
      </c>
      <c r="D4" s="3" t="inlineStr">
        <is>
          <t>Used</t>
        </is>
      </c>
      <c r="E4" s="3" t="inlineStr">
        <is>
          <t>Tax saved</t>
        </is>
      </c>
      <c r="F4" s="3" t="inlineStr">
        <is>
          <t>PV of tax saved</t>
        </is>
      </c>
      <c r="G4" s="3" t="inlineStr">
        <is>
          <t>Closing balance</t>
        </is>
      </c>
    </row>
    <row r="5">
      <c r="A5" t="n">
        <v>7</v>
      </c>
      <c r="B5" s="7">
        <f>Model!H12</f>
        <v/>
      </c>
      <c r="C5" s="7">
        <f>Model!G17</f>
        <v/>
      </c>
      <c r="D5" s="7">
        <f>MIN(Inputs!$B$25*B5,C5)</f>
        <v/>
      </c>
      <c r="E5" s="7">
        <f>IF(B5&lt;=0,0,Inputs!$G$21*D5)</f>
        <v/>
      </c>
      <c r="F5" s="7">
        <f>E5/(1+Inputs!$B$24)^A5</f>
        <v/>
      </c>
      <c r="G5" s="7">
        <f>IF(B5&lt;=0,C5,C5-D5)</f>
        <v/>
      </c>
    </row>
    <row r="6">
      <c r="A6" t="n">
        <v>8</v>
      </c>
      <c r="B6" s="7">
        <f>B5*(1+Inputs!$G$6)</f>
        <v/>
      </c>
      <c r="C6" s="7">
        <f>G5</f>
        <v/>
      </c>
      <c r="D6" s="7">
        <f>MIN(Inputs!$B$25*B6,C6)</f>
        <v/>
      </c>
      <c r="E6" s="7">
        <f>IF(B6&lt;=0,0,Inputs!$G$21*D6)</f>
        <v/>
      </c>
      <c r="F6" s="7">
        <f>E6/(1+Inputs!$B$24)^A6</f>
        <v/>
      </c>
      <c r="G6" s="7">
        <f>IF(B6&lt;=0,C6,C6-D6)</f>
        <v/>
      </c>
    </row>
    <row r="7">
      <c r="A7" t="n">
        <v>9</v>
      </c>
      <c r="B7" s="7">
        <f>B6*(1+Inputs!$G$6)</f>
        <v/>
      </c>
      <c r="C7" s="7">
        <f>G6</f>
        <v/>
      </c>
      <c r="D7" s="7">
        <f>MIN(Inputs!$B$25*B7,C7)</f>
        <v/>
      </c>
      <c r="E7" s="7">
        <f>IF(B7&lt;=0,0,Inputs!$G$21*D7)</f>
        <v/>
      </c>
      <c r="F7" s="7">
        <f>E7/(1+Inputs!$B$24)^A7</f>
        <v/>
      </c>
      <c r="G7" s="7">
        <f>IF(B7&lt;=0,C7,C7-D7)</f>
        <v/>
      </c>
    </row>
    <row r="8">
      <c r="A8" t="n">
        <v>10</v>
      </c>
      <c r="B8" s="7">
        <f>B7*(1+Inputs!$G$6)</f>
        <v/>
      </c>
      <c r="C8" s="7">
        <f>G7</f>
        <v/>
      </c>
      <c r="D8" s="7">
        <f>MIN(Inputs!$B$25*B8,C8)</f>
        <v/>
      </c>
      <c r="E8" s="7">
        <f>IF(B8&lt;=0,0,Inputs!$G$21*D8)</f>
        <v/>
      </c>
      <c r="F8" s="7">
        <f>E8/(1+Inputs!$B$24)^A8</f>
        <v/>
      </c>
      <c r="G8" s="7">
        <f>IF(B8&lt;=0,C8,C8-D8)</f>
        <v/>
      </c>
    </row>
    <row r="9">
      <c r="A9" t="n">
        <v>11</v>
      </c>
      <c r="B9" s="7">
        <f>B8*(1+Inputs!$G$6)</f>
        <v/>
      </c>
      <c r="C9" s="7">
        <f>G8</f>
        <v/>
      </c>
      <c r="D9" s="7">
        <f>MIN(Inputs!$B$25*B9,C9)</f>
        <v/>
      </c>
      <c r="E9" s="7">
        <f>IF(B9&lt;=0,0,Inputs!$G$21*D9)</f>
        <v/>
      </c>
      <c r="F9" s="7">
        <f>E9/(1+Inputs!$B$24)^A9</f>
        <v/>
      </c>
      <c r="G9" s="7">
        <f>IF(B9&lt;=0,C9,C9-D9)</f>
        <v/>
      </c>
    </row>
    <row r="10">
      <c r="A10" t="n">
        <v>12</v>
      </c>
      <c r="B10" s="7">
        <f>B9*(1+Inputs!$G$6)</f>
        <v/>
      </c>
      <c r="C10" s="7">
        <f>G9</f>
        <v/>
      </c>
      <c r="D10" s="7">
        <f>MIN(Inputs!$B$25*B10,C10)</f>
        <v/>
      </c>
      <c r="E10" s="7">
        <f>IF(B10&lt;=0,0,Inputs!$G$21*D10)</f>
        <v/>
      </c>
      <c r="F10" s="7">
        <f>E10/(1+Inputs!$B$24)^A10</f>
        <v/>
      </c>
      <c r="G10" s="7">
        <f>IF(B10&lt;=0,C10,C10-D10)</f>
        <v/>
      </c>
    </row>
    <row r="11">
      <c r="A11" t="n">
        <v>13</v>
      </c>
      <c r="B11" s="7">
        <f>B10*(1+Inputs!$G$6)</f>
        <v/>
      </c>
      <c r="C11" s="7">
        <f>G10</f>
        <v/>
      </c>
      <c r="D11" s="7">
        <f>MIN(Inputs!$B$25*B11,C11)</f>
        <v/>
      </c>
      <c r="E11" s="7">
        <f>IF(B11&lt;=0,0,Inputs!$G$21*D11)</f>
        <v/>
      </c>
      <c r="F11" s="7">
        <f>E11/(1+Inputs!$B$24)^A11</f>
        <v/>
      </c>
      <c r="G11" s="7">
        <f>IF(B11&lt;=0,C11,C11-D11)</f>
        <v/>
      </c>
    </row>
    <row r="12">
      <c r="A12" t="n">
        <v>14</v>
      </c>
      <c r="B12" s="7">
        <f>B11*(1+Inputs!$G$6)</f>
        <v/>
      </c>
      <c r="C12" s="7">
        <f>G11</f>
        <v/>
      </c>
      <c r="D12" s="7">
        <f>MIN(Inputs!$B$25*B12,C12)</f>
        <v/>
      </c>
      <c r="E12" s="7">
        <f>IF(B12&lt;=0,0,Inputs!$G$21*D12)</f>
        <v/>
      </c>
      <c r="F12" s="7">
        <f>E12/(1+Inputs!$B$24)^A12</f>
        <v/>
      </c>
      <c r="G12" s="7">
        <f>IF(B12&lt;=0,C12,C12-D12)</f>
        <v/>
      </c>
    </row>
    <row r="13">
      <c r="A13" t="n">
        <v>15</v>
      </c>
      <c r="B13" s="7">
        <f>B12*(1+Inputs!$G$6)</f>
        <v/>
      </c>
      <c r="C13" s="7">
        <f>G12</f>
        <v/>
      </c>
      <c r="D13" s="7">
        <f>MIN(Inputs!$B$25*B13,C13)</f>
        <v/>
      </c>
      <c r="E13" s="7">
        <f>IF(B13&lt;=0,0,Inputs!$G$21*D13)</f>
        <v/>
      </c>
      <c r="F13" s="7">
        <f>E13/(1+Inputs!$B$24)^A13</f>
        <v/>
      </c>
      <c r="G13" s="7">
        <f>IF(B13&lt;=0,C13,C13-D13)</f>
        <v/>
      </c>
    </row>
    <row r="14">
      <c r="A14" t="n">
        <v>16</v>
      </c>
      <c r="B14" s="7">
        <f>B13*(1+Inputs!$G$6)</f>
        <v/>
      </c>
      <c r="C14" s="7">
        <f>G13</f>
        <v/>
      </c>
      <c r="D14" s="7">
        <f>MIN(Inputs!$B$25*B14,C14)</f>
        <v/>
      </c>
      <c r="E14" s="7">
        <f>IF(B14&lt;=0,0,Inputs!$G$21*D14)</f>
        <v/>
      </c>
      <c r="F14" s="7">
        <f>E14/(1+Inputs!$B$24)^A14</f>
        <v/>
      </c>
      <c r="G14" s="7">
        <f>IF(B14&lt;=0,C14,C14-D14)</f>
        <v/>
      </c>
    </row>
    <row r="15">
      <c r="A15" t="n">
        <v>17</v>
      </c>
      <c r="B15" s="7">
        <f>B14*(1+Inputs!$G$6)</f>
        <v/>
      </c>
      <c r="C15" s="7">
        <f>G14</f>
        <v/>
      </c>
      <c r="D15" s="7">
        <f>MIN(Inputs!$B$25*B15,C15)</f>
        <v/>
      </c>
      <c r="E15" s="7">
        <f>IF(B15&lt;=0,0,Inputs!$G$21*D15)</f>
        <v/>
      </c>
      <c r="F15" s="7">
        <f>E15/(1+Inputs!$B$24)^A15</f>
        <v/>
      </c>
      <c r="G15" s="7">
        <f>IF(B15&lt;=0,C15,C15-D15)</f>
        <v/>
      </c>
    </row>
    <row r="16">
      <c r="A16" t="n">
        <v>18</v>
      </c>
      <c r="B16" s="7">
        <f>B15*(1+Inputs!$G$6)</f>
        <v/>
      </c>
      <c r="C16" s="7">
        <f>G15</f>
        <v/>
      </c>
      <c r="D16" s="7">
        <f>MIN(Inputs!$B$25*B16,C16)</f>
        <v/>
      </c>
      <c r="E16" s="7">
        <f>IF(B16&lt;=0,0,Inputs!$G$21*D16)</f>
        <v/>
      </c>
      <c r="F16" s="7">
        <f>E16/(1+Inputs!$B$24)^A16</f>
        <v/>
      </c>
      <c r="G16" s="7">
        <f>IF(B16&lt;=0,C16,C16-D16)</f>
        <v/>
      </c>
    </row>
    <row r="17">
      <c r="A17" t="n">
        <v>19</v>
      </c>
      <c r="B17" s="7">
        <f>B16*(1+Inputs!$G$6)</f>
        <v/>
      </c>
      <c r="C17" s="7">
        <f>G16</f>
        <v/>
      </c>
      <c r="D17" s="7">
        <f>MIN(Inputs!$B$25*B17,C17)</f>
        <v/>
      </c>
      <c r="E17" s="7">
        <f>IF(B17&lt;=0,0,Inputs!$G$21*D17)</f>
        <v/>
      </c>
      <c r="F17" s="7">
        <f>E17/(1+Inputs!$B$24)^A17</f>
        <v/>
      </c>
      <c r="G17" s="7">
        <f>IF(B17&lt;=0,C17,C17-D17)</f>
        <v/>
      </c>
    </row>
    <row r="18">
      <c r="A18" t="n">
        <v>20</v>
      </c>
      <c r="B18" s="7">
        <f>B17*(1+Inputs!$G$6)</f>
        <v/>
      </c>
      <c r="C18" s="7">
        <f>G17</f>
        <v/>
      </c>
      <c r="D18" s="7">
        <f>MIN(Inputs!$B$25*B18,C18)</f>
        <v/>
      </c>
      <c r="E18" s="7">
        <f>IF(B18&lt;=0,0,Inputs!$G$21*D18)</f>
        <v/>
      </c>
      <c r="F18" s="7">
        <f>E18/(1+Inputs!$B$24)^A18</f>
        <v/>
      </c>
      <c r="G18" s="7">
        <f>IF(B18&lt;=0,C18,C18-D18)</f>
        <v/>
      </c>
    </row>
    <row r="19">
      <c r="A19" t="n">
        <v>21</v>
      </c>
      <c r="B19" s="7">
        <f>B18*(1+Inputs!$G$6)</f>
        <v/>
      </c>
      <c r="C19" s="7">
        <f>G18</f>
        <v/>
      </c>
      <c r="D19" s="7">
        <f>MIN(Inputs!$B$25*B19,C19)</f>
        <v/>
      </c>
      <c r="E19" s="7">
        <f>IF(B19&lt;=0,0,Inputs!$G$21*D19)</f>
        <v/>
      </c>
      <c r="F19" s="7">
        <f>E19/(1+Inputs!$B$24)^A19</f>
        <v/>
      </c>
      <c r="G19" s="7">
        <f>IF(B19&lt;=0,C19,C19-D19)</f>
        <v/>
      </c>
    </row>
    <row r="20">
      <c r="A20" t="n">
        <v>22</v>
      </c>
      <c r="B20" s="7">
        <f>B19*(1+Inputs!$G$6)</f>
        <v/>
      </c>
      <c r="C20" s="7">
        <f>G19</f>
        <v/>
      </c>
      <c r="D20" s="7">
        <f>MIN(Inputs!$B$25*B20,C20)</f>
        <v/>
      </c>
      <c r="E20" s="7">
        <f>IF(B20&lt;=0,0,Inputs!$G$21*D20)</f>
        <v/>
      </c>
      <c r="F20" s="7">
        <f>E20/(1+Inputs!$B$24)^A20</f>
        <v/>
      </c>
      <c r="G20" s="7">
        <f>IF(B20&lt;=0,C20,C20-D20)</f>
        <v/>
      </c>
    </row>
    <row r="21">
      <c r="A21" t="n">
        <v>23</v>
      </c>
      <c r="B21" s="7">
        <f>B20*(1+Inputs!$G$6)</f>
        <v/>
      </c>
      <c r="C21" s="7">
        <f>G20</f>
        <v/>
      </c>
      <c r="D21" s="7">
        <f>MIN(Inputs!$B$25*B21,C21)</f>
        <v/>
      </c>
      <c r="E21" s="7">
        <f>IF(B21&lt;=0,0,Inputs!$G$21*D21)</f>
        <v/>
      </c>
      <c r="F21" s="7">
        <f>E21/(1+Inputs!$B$24)^A21</f>
        <v/>
      </c>
      <c r="G21" s="7">
        <f>IF(B21&lt;=0,C21,C21-D21)</f>
        <v/>
      </c>
    </row>
    <row r="22">
      <c r="A22" t="n">
        <v>24</v>
      </c>
      <c r="B22" s="7">
        <f>B21*(1+Inputs!$G$6)</f>
        <v/>
      </c>
      <c r="C22" s="7">
        <f>G21</f>
        <v/>
      </c>
      <c r="D22" s="7">
        <f>MIN(Inputs!$B$25*B22,C22)</f>
        <v/>
      </c>
      <c r="E22" s="7">
        <f>IF(B22&lt;=0,0,Inputs!$G$21*D22)</f>
        <v/>
      </c>
      <c r="F22" s="7">
        <f>E22/(1+Inputs!$B$24)^A22</f>
        <v/>
      </c>
      <c r="G22" s="7">
        <f>IF(B22&lt;=0,C22,C22-D22)</f>
        <v/>
      </c>
    </row>
    <row r="23">
      <c r="A23" t="n">
        <v>25</v>
      </c>
      <c r="B23" s="7">
        <f>B22*(1+Inputs!$G$6)</f>
        <v/>
      </c>
      <c r="C23" s="7">
        <f>G22</f>
        <v/>
      </c>
      <c r="D23" s="7">
        <f>MIN(Inputs!$B$25*B23,C23)</f>
        <v/>
      </c>
      <c r="E23" s="7">
        <f>IF(B23&lt;=0,0,Inputs!$G$21*D23)</f>
        <v/>
      </c>
      <c r="F23" s="7">
        <f>E23/(1+Inputs!$B$24)^A23</f>
        <v/>
      </c>
      <c r="G23" s="7">
        <f>IF(B23&lt;=0,C23,C23-D23)</f>
        <v/>
      </c>
    </row>
    <row r="24">
      <c r="A24" t="n">
        <v>26</v>
      </c>
      <c r="B24" s="7">
        <f>B23*(1+Inputs!$G$6)</f>
        <v/>
      </c>
      <c r="C24" s="7">
        <f>G23</f>
        <v/>
      </c>
      <c r="D24" s="7">
        <f>MIN(Inputs!$B$25*B24,C24)</f>
        <v/>
      </c>
      <c r="E24" s="7">
        <f>IF(B24&lt;=0,0,Inputs!$G$21*D24)</f>
        <v/>
      </c>
      <c r="F24" s="7">
        <f>E24/(1+Inputs!$B$24)^A24</f>
        <v/>
      </c>
      <c r="G24" s="7">
        <f>IF(B24&lt;=0,C24,C24-D24)</f>
        <v/>
      </c>
    </row>
    <row r="25">
      <c r="A25" t="n">
        <v>27</v>
      </c>
      <c r="B25" s="7">
        <f>B24*(1+Inputs!$G$6)</f>
        <v/>
      </c>
      <c r="C25" s="7">
        <f>G24</f>
        <v/>
      </c>
      <c r="D25" s="7">
        <f>MIN(Inputs!$B$25*B25,C25)</f>
        <v/>
      </c>
      <c r="E25" s="7">
        <f>IF(B25&lt;=0,0,Inputs!$G$21*D25)</f>
        <v/>
      </c>
      <c r="F25" s="7">
        <f>E25/(1+Inputs!$B$24)^A25</f>
        <v/>
      </c>
      <c r="G25" s="7">
        <f>IF(B25&lt;=0,C25,C25-D25)</f>
        <v/>
      </c>
    </row>
    <row r="26">
      <c r="A26" t="n">
        <v>28</v>
      </c>
      <c r="B26" s="7">
        <f>B25*(1+Inputs!$G$6)</f>
        <v/>
      </c>
      <c r="C26" s="7">
        <f>G25</f>
        <v/>
      </c>
      <c r="D26" s="7">
        <f>MIN(Inputs!$B$25*B26,C26)</f>
        <v/>
      </c>
      <c r="E26" s="7">
        <f>IF(B26&lt;=0,0,Inputs!$G$21*D26)</f>
        <v/>
      </c>
      <c r="F26" s="7">
        <f>E26/(1+Inputs!$B$24)^A26</f>
        <v/>
      </c>
      <c r="G26" s="7">
        <f>IF(B26&lt;=0,C26,C26-D26)</f>
        <v/>
      </c>
    </row>
    <row r="27">
      <c r="A27" t="n">
        <v>29</v>
      </c>
      <c r="B27" s="7">
        <f>B26*(1+Inputs!$G$6)</f>
        <v/>
      </c>
      <c r="C27" s="7">
        <f>G26</f>
        <v/>
      </c>
      <c r="D27" s="7">
        <f>MIN(Inputs!$B$25*B27,C27)</f>
        <v/>
      </c>
      <c r="E27" s="7">
        <f>IF(B27&lt;=0,0,Inputs!$G$21*D27)</f>
        <v/>
      </c>
      <c r="F27" s="7">
        <f>E27/(1+Inputs!$B$24)^A27</f>
        <v/>
      </c>
      <c r="G27" s="7">
        <f>IF(B27&lt;=0,C27,C27-D27)</f>
        <v/>
      </c>
    </row>
    <row r="28">
      <c r="A28" t="n">
        <v>30</v>
      </c>
      <c r="B28" s="7">
        <f>B27*(1+Inputs!$G$6)</f>
        <v/>
      </c>
      <c r="C28" s="7">
        <f>G27</f>
        <v/>
      </c>
      <c r="D28" s="7">
        <f>MIN(Inputs!$B$25*B28,C28)</f>
        <v/>
      </c>
      <c r="E28" s="7">
        <f>IF(B28&lt;=0,0,Inputs!$G$21*D28)</f>
        <v/>
      </c>
      <c r="F28" s="7">
        <f>E28/(1+Inputs!$B$24)^A28</f>
        <v/>
      </c>
      <c r="G28" s="7">
        <f>IF(B28&lt;=0,C28,C28-D28)</f>
        <v/>
      </c>
    </row>
    <row r="29">
      <c r="A29" t="n">
        <v>31</v>
      </c>
      <c r="B29" s="7">
        <f>B28*(1+Inputs!$G$6)</f>
        <v/>
      </c>
      <c r="C29" s="7">
        <f>G28</f>
        <v/>
      </c>
      <c r="D29" s="7">
        <f>MIN(Inputs!$B$25*B29,C29)</f>
        <v/>
      </c>
      <c r="E29" s="7">
        <f>IF(B29&lt;=0,0,Inputs!$G$21*D29)</f>
        <v/>
      </c>
      <c r="F29" s="7">
        <f>E29/(1+Inputs!$B$24)^A29</f>
        <v/>
      </c>
      <c r="G29" s="7">
        <f>IF(B29&lt;=0,C29,C29-D29)</f>
        <v/>
      </c>
    </row>
    <row r="30">
      <c r="A30" t="n">
        <v>32</v>
      </c>
      <c r="B30" s="7">
        <f>B29*(1+Inputs!$G$6)</f>
        <v/>
      </c>
      <c r="C30" s="7">
        <f>G29</f>
        <v/>
      </c>
      <c r="D30" s="7">
        <f>MIN(Inputs!$B$25*B30,C30)</f>
        <v/>
      </c>
      <c r="E30" s="7">
        <f>IF(B30&lt;=0,0,Inputs!$G$21*D30)</f>
        <v/>
      </c>
      <c r="F30" s="7">
        <f>E30/(1+Inputs!$B$24)^A30</f>
        <v/>
      </c>
      <c r="G30" s="7">
        <f>IF(B30&lt;=0,C30,C30-D30)</f>
        <v/>
      </c>
    </row>
    <row r="31">
      <c r="A31" t="n">
        <v>33</v>
      </c>
      <c r="B31" s="7">
        <f>B30*(1+Inputs!$G$6)</f>
        <v/>
      </c>
      <c r="C31" s="7">
        <f>G30</f>
        <v/>
      </c>
      <c r="D31" s="7">
        <f>MIN(Inputs!$B$25*B31,C31)</f>
        <v/>
      </c>
      <c r="E31" s="7">
        <f>IF(B31&lt;=0,0,Inputs!$G$21*D31)</f>
        <v/>
      </c>
      <c r="F31" s="7">
        <f>E31/(1+Inputs!$B$24)^A31</f>
        <v/>
      </c>
      <c r="G31" s="7">
        <f>IF(B31&lt;=0,C31,C31-D31)</f>
        <v/>
      </c>
    </row>
    <row r="32">
      <c r="A32" t="n">
        <v>34</v>
      </c>
      <c r="B32" s="7">
        <f>B31*(1+Inputs!$G$6)</f>
        <v/>
      </c>
      <c r="C32" s="7">
        <f>G31</f>
        <v/>
      </c>
      <c r="D32" s="7">
        <f>MIN(Inputs!$B$25*B32,C32)</f>
        <v/>
      </c>
      <c r="E32" s="7">
        <f>IF(B32&lt;=0,0,Inputs!$G$21*D32)</f>
        <v/>
      </c>
      <c r="F32" s="7">
        <f>E32/(1+Inputs!$B$24)^A32</f>
        <v/>
      </c>
      <c r="G32" s="7">
        <f>IF(B32&lt;=0,C32,C32-D32)</f>
        <v/>
      </c>
    </row>
    <row r="33">
      <c r="A33" t="n">
        <v>35</v>
      </c>
      <c r="B33" s="7">
        <f>B32*(1+Inputs!$G$6)</f>
        <v/>
      </c>
      <c r="C33" s="7">
        <f>G32</f>
        <v/>
      </c>
      <c r="D33" s="7">
        <f>MIN(Inputs!$B$25*B33,C33)</f>
        <v/>
      </c>
      <c r="E33" s="7">
        <f>IF(B33&lt;=0,0,Inputs!$G$21*D33)</f>
        <v/>
      </c>
      <c r="F33" s="7">
        <f>E33/(1+Inputs!$B$24)^A33</f>
        <v/>
      </c>
      <c r="G33" s="7">
        <f>IF(B33&lt;=0,C33,C33-D33)</f>
        <v/>
      </c>
    </row>
    <row r="34">
      <c r="A34" t="n">
        <v>36</v>
      </c>
      <c r="B34" s="7">
        <f>B33*(1+Inputs!$G$6)</f>
        <v/>
      </c>
      <c r="C34" s="7">
        <f>G33</f>
        <v/>
      </c>
      <c r="D34" s="7">
        <f>MIN(Inputs!$B$25*B34,C34)</f>
        <v/>
      </c>
      <c r="E34" s="7">
        <f>IF(B34&lt;=0,0,Inputs!$G$21*D34)</f>
        <v/>
      </c>
      <c r="F34" s="7">
        <f>E34/(1+Inputs!$B$24)^A34</f>
        <v/>
      </c>
      <c r="G34" s="7">
        <f>IF(B34&lt;=0,C34,C34-D34)</f>
        <v/>
      </c>
    </row>
    <row r="35">
      <c r="A35" t="n">
        <v>37</v>
      </c>
      <c r="B35" s="7">
        <f>B34*(1+Inputs!$G$6)</f>
        <v/>
      </c>
      <c r="C35" s="7">
        <f>G34</f>
        <v/>
      </c>
      <c r="D35" s="7">
        <f>MIN(Inputs!$B$25*B35,C35)</f>
        <v/>
      </c>
      <c r="E35" s="7">
        <f>IF(B35&lt;=0,0,Inputs!$G$21*D35)</f>
        <v/>
      </c>
      <c r="F35" s="7">
        <f>E35/(1+Inputs!$B$24)^A35</f>
        <v/>
      </c>
      <c r="G35" s="7">
        <f>IF(B35&lt;=0,C35,C35-D35)</f>
        <v/>
      </c>
    </row>
    <row r="36">
      <c r="A36" t="n">
        <v>38</v>
      </c>
      <c r="B36" s="7">
        <f>B35*(1+Inputs!$G$6)</f>
        <v/>
      </c>
      <c r="C36" s="7">
        <f>G35</f>
        <v/>
      </c>
      <c r="D36" s="7">
        <f>MIN(Inputs!$B$25*B36,C36)</f>
        <v/>
      </c>
      <c r="E36" s="7">
        <f>IF(B36&lt;=0,0,Inputs!$G$21*D36)</f>
        <v/>
      </c>
      <c r="F36" s="7">
        <f>E36/(1+Inputs!$B$24)^A36</f>
        <v/>
      </c>
      <c r="G36" s="7">
        <f>IF(B36&lt;=0,C36,C36-D36)</f>
        <v/>
      </c>
    </row>
    <row r="37">
      <c r="A37" t="n">
        <v>39</v>
      </c>
      <c r="B37" s="7">
        <f>B36*(1+Inputs!$G$6)</f>
        <v/>
      </c>
      <c r="C37" s="7">
        <f>G36</f>
        <v/>
      </c>
      <c r="D37" s="7">
        <f>MIN(Inputs!$B$25*B37,C37)</f>
        <v/>
      </c>
      <c r="E37" s="7">
        <f>IF(B37&lt;=0,0,Inputs!$G$21*D37)</f>
        <v/>
      </c>
      <c r="F37" s="7">
        <f>E37/(1+Inputs!$B$24)^A37</f>
        <v/>
      </c>
      <c r="G37" s="7">
        <f>IF(B37&lt;=0,C37,C37-D37)</f>
        <v/>
      </c>
    </row>
    <row r="38">
      <c r="A38" t="n">
        <v>40</v>
      </c>
      <c r="B38" s="7">
        <f>B37*(1+Inputs!$G$6)</f>
        <v/>
      </c>
      <c r="C38" s="7">
        <f>G37</f>
        <v/>
      </c>
      <c r="D38" s="7">
        <f>MIN(Inputs!$B$25*B38,C38)</f>
        <v/>
      </c>
      <c r="E38" s="7">
        <f>IF(B38&lt;=0,0,Inputs!$G$21*D38)</f>
        <v/>
      </c>
      <c r="F38" s="7">
        <f>E38/(1+Inputs!$B$24)^A38</f>
        <v/>
      </c>
      <c r="G38" s="7">
        <f>IF(B38&lt;=0,C38,C38-D38)</f>
        <v/>
      </c>
    </row>
    <row r="39">
      <c r="A39" t="n">
        <v>41</v>
      </c>
      <c r="B39" s="7">
        <f>B38*(1+Inputs!$G$6)</f>
        <v/>
      </c>
      <c r="C39" s="7">
        <f>G38</f>
        <v/>
      </c>
      <c r="D39" s="7">
        <f>MIN(Inputs!$B$25*B39,C39)</f>
        <v/>
      </c>
      <c r="E39" s="7">
        <f>IF(B39&lt;=0,0,Inputs!$G$21*D39)</f>
        <v/>
      </c>
      <c r="F39" s="7">
        <f>E39/(1+Inputs!$B$24)^A39</f>
        <v/>
      </c>
      <c r="G39" s="7">
        <f>IF(B39&lt;=0,C39,C39-D39)</f>
        <v/>
      </c>
    </row>
    <row r="40">
      <c r="A40" t="n">
        <v>42</v>
      </c>
      <c r="B40" s="7">
        <f>B39*(1+Inputs!$G$6)</f>
        <v/>
      </c>
      <c r="C40" s="7">
        <f>G39</f>
        <v/>
      </c>
      <c r="D40" s="7">
        <f>MIN(Inputs!$B$25*B40,C40)</f>
        <v/>
      </c>
      <c r="E40" s="7">
        <f>IF(B40&lt;=0,0,Inputs!$G$21*D40)</f>
        <v/>
      </c>
      <c r="F40" s="7">
        <f>E40/(1+Inputs!$B$24)^A40</f>
        <v/>
      </c>
      <c r="G40" s="7">
        <f>IF(B40&lt;=0,C40,C40-D40)</f>
        <v/>
      </c>
    </row>
    <row r="41">
      <c r="A41" t="n">
        <v>43</v>
      </c>
      <c r="B41" s="7">
        <f>B40*(1+Inputs!$G$6)</f>
        <v/>
      </c>
      <c r="C41" s="7">
        <f>G40</f>
        <v/>
      </c>
      <c r="D41" s="7">
        <f>MIN(Inputs!$B$25*B41,C41)</f>
        <v/>
      </c>
      <c r="E41" s="7">
        <f>IF(B41&lt;=0,0,Inputs!$G$21*D41)</f>
        <v/>
      </c>
      <c r="F41" s="7">
        <f>E41/(1+Inputs!$B$24)^A41</f>
        <v/>
      </c>
      <c r="G41" s="7">
        <f>IF(B41&lt;=0,C41,C41-D41)</f>
        <v/>
      </c>
    </row>
    <row r="42">
      <c r="A42" t="n">
        <v>44</v>
      </c>
      <c r="B42" s="7">
        <f>B41*(1+Inputs!$G$6)</f>
        <v/>
      </c>
      <c r="C42" s="7">
        <f>G41</f>
        <v/>
      </c>
      <c r="D42" s="7">
        <f>MIN(Inputs!$B$25*B42,C42)</f>
        <v/>
      </c>
      <c r="E42" s="7">
        <f>IF(B42&lt;=0,0,Inputs!$G$21*D42)</f>
        <v/>
      </c>
      <c r="F42" s="7">
        <f>E42/(1+Inputs!$B$24)^A42</f>
        <v/>
      </c>
      <c r="G42" s="7">
        <f>IF(B42&lt;=0,C42,C42-D42)</f>
        <v/>
      </c>
    </row>
    <row r="43">
      <c r="A43" t="n">
        <v>45</v>
      </c>
      <c r="B43" s="7">
        <f>B42*(1+Inputs!$G$6)</f>
        <v/>
      </c>
      <c r="C43" s="7">
        <f>G42</f>
        <v/>
      </c>
      <c r="D43" s="7">
        <f>MIN(Inputs!$B$25*B43,C43)</f>
        <v/>
      </c>
      <c r="E43" s="7">
        <f>IF(B43&lt;=0,0,Inputs!$G$21*D43)</f>
        <v/>
      </c>
      <c r="F43" s="7">
        <f>E43/(1+Inputs!$B$24)^A43</f>
        <v/>
      </c>
      <c r="G43" s="7">
        <f>IF(B43&lt;=0,C43,C43-D43)</f>
        <v/>
      </c>
    </row>
    <row r="44">
      <c r="A44" t="n">
        <v>46</v>
      </c>
      <c r="B44" s="7">
        <f>B43*(1+Inputs!$G$6)</f>
        <v/>
      </c>
      <c r="C44" s="7">
        <f>G43</f>
        <v/>
      </c>
      <c r="D44" s="7">
        <f>MIN(Inputs!$B$25*B44,C44)</f>
        <v/>
      </c>
      <c r="E44" s="7">
        <f>IF(B44&lt;=0,0,Inputs!$G$21*D44)</f>
        <v/>
      </c>
      <c r="F44" s="7">
        <f>E44/(1+Inputs!$B$24)^A44</f>
        <v/>
      </c>
      <c r="G44" s="7">
        <f>IF(B44&lt;=0,C44,C44-D44)</f>
        <v/>
      </c>
    </row>
    <row r="45">
      <c r="A45" t="n">
        <v>47</v>
      </c>
      <c r="B45" s="7">
        <f>B44*(1+Inputs!$G$6)</f>
        <v/>
      </c>
      <c r="C45" s="7">
        <f>G44</f>
        <v/>
      </c>
      <c r="D45" s="7">
        <f>MIN(Inputs!$B$25*B45,C45)</f>
        <v/>
      </c>
      <c r="E45" s="7">
        <f>IF(B45&lt;=0,0,Inputs!$G$21*D45)</f>
        <v/>
      </c>
      <c r="F45" s="7">
        <f>E45/(1+Inputs!$B$24)^A45</f>
        <v/>
      </c>
      <c r="G45" s="7">
        <f>IF(B45&lt;=0,C45,C45-D45)</f>
        <v/>
      </c>
    </row>
    <row r="46">
      <c r="A46" t="n">
        <v>48</v>
      </c>
      <c r="B46" s="7">
        <f>B45*(1+Inputs!$G$6)</f>
        <v/>
      </c>
      <c r="C46" s="7">
        <f>G45</f>
        <v/>
      </c>
      <c r="D46" s="7">
        <f>MIN(Inputs!$B$25*B46,C46)</f>
        <v/>
      </c>
      <c r="E46" s="7">
        <f>IF(B46&lt;=0,0,Inputs!$G$21*D46)</f>
        <v/>
      </c>
      <c r="F46" s="7">
        <f>E46/(1+Inputs!$B$24)^A46</f>
        <v/>
      </c>
      <c r="G46" s="7">
        <f>IF(B46&lt;=0,C46,C46-D46)</f>
        <v/>
      </c>
    </row>
    <row r="47">
      <c r="A47" t="n">
        <v>49</v>
      </c>
      <c r="B47" s="7">
        <f>B46*(1+Inputs!$G$6)</f>
        <v/>
      </c>
      <c r="C47" s="7">
        <f>G46</f>
        <v/>
      </c>
      <c r="D47" s="7">
        <f>MIN(Inputs!$B$25*B47,C47)</f>
        <v/>
      </c>
      <c r="E47" s="7">
        <f>IF(B47&lt;=0,0,Inputs!$G$21*D47)</f>
        <v/>
      </c>
      <c r="F47" s="7">
        <f>E47/(1+Inputs!$B$24)^A47</f>
        <v/>
      </c>
      <c r="G47" s="7">
        <f>IF(B47&lt;=0,C47,C47-D47)</f>
        <v/>
      </c>
    </row>
    <row r="48">
      <c r="A48" t="n">
        <v>50</v>
      </c>
      <c r="B48" s="7">
        <f>B47*(1+Inputs!$G$6)</f>
        <v/>
      </c>
      <c r="C48" s="7">
        <f>G47</f>
        <v/>
      </c>
      <c r="D48" s="7">
        <f>MIN(Inputs!$B$25*B48,C48)</f>
        <v/>
      </c>
      <c r="E48" s="7">
        <f>IF(B48&lt;=0,0,Inputs!$G$21*D48)</f>
        <v/>
      </c>
      <c r="F48" s="7">
        <f>E48/(1+Inputs!$B$24)^A48</f>
        <v/>
      </c>
      <c r="G48" s="7">
        <f>IF(B48&lt;=0,C48,C48-D48)</f>
        <v/>
      </c>
    </row>
    <row r="49">
      <c r="A49" t="n">
        <v>51</v>
      </c>
      <c r="B49" s="7">
        <f>B48*(1+Inputs!$G$6)</f>
        <v/>
      </c>
      <c r="C49" s="7">
        <f>G48</f>
        <v/>
      </c>
      <c r="D49" s="7">
        <f>MIN(Inputs!$B$25*B49,C49)</f>
        <v/>
      </c>
      <c r="E49" s="7">
        <f>IF(B49&lt;=0,0,Inputs!$G$21*D49)</f>
        <v/>
      </c>
      <c r="F49" s="7">
        <f>E49/(1+Inputs!$B$24)^A49</f>
        <v/>
      </c>
      <c r="G49" s="7">
        <f>IF(B49&lt;=0,C49,C49-D49)</f>
        <v/>
      </c>
    </row>
    <row r="50">
      <c r="A50" t="n">
        <v>52</v>
      </c>
      <c r="B50" s="7">
        <f>B49*(1+Inputs!$G$6)</f>
        <v/>
      </c>
      <c r="C50" s="7">
        <f>G49</f>
        <v/>
      </c>
      <c r="D50" s="7">
        <f>MIN(Inputs!$B$25*B50,C50)</f>
        <v/>
      </c>
      <c r="E50" s="7">
        <f>IF(B50&lt;=0,0,Inputs!$G$21*D50)</f>
        <v/>
      </c>
      <c r="F50" s="7">
        <f>E50/(1+Inputs!$B$24)^A50</f>
        <v/>
      </c>
      <c r="G50" s="7">
        <f>IF(B50&lt;=0,C50,C50-D50)</f>
        <v/>
      </c>
    </row>
    <row r="51">
      <c r="A51" t="n">
        <v>53</v>
      </c>
      <c r="B51" s="7">
        <f>B50*(1+Inputs!$G$6)</f>
        <v/>
      </c>
      <c r="C51" s="7">
        <f>G50</f>
        <v/>
      </c>
      <c r="D51" s="7">
        <f>MIN(Inputs!$B$25*B51,C51)</f>
        <v/>
      </c>
      <c r="E51" s="7">
        <f>IF(B51&lt;=0,0,Inputs!$G$21*D51)</f>
        <v/>
      </c>
      <c r="F51" s="7">
        <f>E51/(1+Inputs!$B$24)^A51</f>
        <v/>
      </c>
      <c r="G51" s="7">
        <f>IF(B51&lt;=0,C51,C51-D51)</f>
        <v/>
      </c>
    </row>
    <row r="52">
      <c r="A52" t="n">
        <v>54</v>
      </c>
      <c r="B52" s="7">
        <f>B51*(1+Inputs!$G$6)</f>
        <v/>
      </c>
      <c r="C52" s="7">
        <f>G51</f>
        <v/>
      </c>
      <c r="D52" s="7">
        <f>MIN(Inputs!$B$25*B52,C52)</f>
        <v/>
      </c>
      <c r="E52" s="7">
        <f>IF(B52&lt;=0,0,Inputs!$G$21*D52)</f>
        <v/>
      </c>
      <c r="F52" s="7">
        <f>E52/(1+Inputs!$B$24)^A52</f>
        <v/>
      </c>
      <c r="G52" s="7">
        <f>IF(B52&lt;=0,C52,C52-D52)</f>
        <v/>
      </c>
    </row>
    <row r="53">
      <c r="A53" t="n">
        <v>55</v>
      </c>
      <c r="B53" s="7">
        <f>B52*(1+Inputs!$G$6)</f>
        <v/>
      </c>
      <c r="C53" s="7">
        <f>G52</f>
        <v/>
      </c>
      <c r="D53" s="7">
        <f>MIN(Inputs!$B$25*B53,C53)</f>
        <v/>
      </c>
      <c r="E53" s="7">
        <f>IF(B53&lt;=0,0,Inputs!$G$21*D53)</f>
        <v/>
      </c>
      <c r="F53" s="7">
        <f>E53/(1+Inputs!$B$24)^A53</f>
        <v/>
      </c>
      <c r="G53" s="7">
        <f>IF(B53&lt;=0,C53,C53-D53)</f>
        <v/>
      </c>
    </row>
    <row r="54">
      <c r="A54" t="n">
        <v>56</v>
      </c>
      <c r="B54" s="7">
        <f>B53*(1+Inputs!$G$6)</f>
        <v/>
      </c>
      <c r="C54" s="7">
        <f>G53</f>
        <v/>
      </c>
      <c r="D54" s="7">
        <f>MIN(Inputs!$B$25*B54,C54)</f>
        <v/>
      </c>
      <c r="E54" s="7">
        <f>IF(B54&lt;=0,0,Inputs!$G$21*D54)</f>
        <v/>
      </c>
      <c r="F54" s="7">
        <f>E54/(1+Inputs!$B$24)^A54</f>
        <v/>
      </c>
      <c r="G54" s="7">
        <f>IF(B54&lt;=0,C54,C54-D54)</f>
        <v/>
      </c>
    </row>
    <row r="55">
      <c r="A55" t="n">
        <v>57</v>
      </c>
      <c r="B55" s="7">
        <f>B54*(1+Inputs!$G$6)</f>
        <v/>
      </c>
      <c r="C55" s="7">
        <f>G54</f>
        <v/>
      </c>
      <c r="D55" s="7">
        <f>MIN(Inputs!$B$25*B55,C55)</f>
        <v/>
      </c>
      <c r="E55" s="7">
        <f>IF(B55&lt;=0,0,Inputs!$G$21*D55)</f>
        <v/>
      </c>
      <c r="F55" s="7">
        <f>E55/(1+Inputs!$B$24)^A55</f>
        <v/>
      </c>
      <c r="G55" s="7">
        <f>IF(B55&lt;=0,C55,C55-D55)</f>
        <v/>
      </c>
    </row>
    <row r="56">
      <c r="A56" t="n">
        <v>58</v>
      </c>
      <c r="B56" s="7">
        <f>B55*(1+Inputs!$G$6)</f>
        <v/>
      </c>
      <c r="C56" s="7">
        <f>G55</f>
        <v/>
      </c>
      <c r="D56" s="7">
        <f>MIN(Inputs!$B$25*B56,C56)</f>
        <v/>
      </c>
      <c r="E56" s="7">
        <f>IF(B56&lt;=0,0,Inputs!$G$21*D56)</f>
        <v/>
      </c>
      <c r="F56" s="7">
        <f>E56/(1+Inputs!$B$24)^A56</f>
        <v/>
      </c>
      <c r="G56" s="7">
        <f>IF(B56&lt;=0,C56,C56-D56)</f>
        <v/>
      </c>
    </row>
    <row r="57">
      <c r="A57" t="n">
        <v>59</v>
      </c>
      <c r="B57" s="7">
        <f>B56*(1+Inputs!$G$6)</f>
        <v/>
      </c>
      <c r="C57" s="7">
        <f>G56</f>
        <v/>
      </c>
      <c r="D57" s="7">
        <f>MIN(Inputs!$B$25*B57,C57)</f>
        <v/>
      </c>
      <c r="E57" s="7">
        <f>IF(B57&lt;=0,0,Inputs!$G$21*D57)</f>
        <v/>
      </c>
      <c r="F57" s="7">
        <f>E57/(1+Inputs!$B$24)^A57</f>
        <v/>
      </c>
      <c r="G57" s="7">
        <f>IF(B57&lt;=0,C57,C57-D57)</f>
        <v/>
      </c>
    </row>
    <row r="58">
      <c r="A58" t="n">
        <v>60</v>
      </c>
      <c r="B58" s="7">
        <f>B57*(1+Inputs!$G$6)</f>
        <v/>
      </c>
      <c r="C58" s="7">
        <f>G57</f>
        <v/>
      </c>
      <c r="D58" s="7">
        <f>MIN(Inputs!$B$25*B58,C58)</f>
        <v/>
      </c>
      <c r="E58" s="7">
        <f>IF(B58&lt;=0,0,Inputs!$G$21*D58)</f>
        <v/>
      </c>
      <c r="F58" s="7">
        <f>E58/(1+Inputs!$B$24)^A58</f>
        <v/>
      </c>
      <c r="G58" s="7">
        <f>IF(B58&lt;=0,C58,C58-D58)</f>
        <v/>
      </c>
    </row>
    <row r="59">
      <c r="A59" t="n">
        <v>61</v>
      </c>
      <c r="B59" s="7">
        <f>B58*(1+Inputs!$G$6)</f>
        <v/>
      </c>
      <c r="C59" s="7">
        <f>G58</f>
        <v/>
      </c>
      <c r="D59" s="7">
        <f>MIN(Inputs!$B$25*B59,C59)</f>
        <v/>
      </c>
      <c r="E59" s="7">
        <f>IF(B59&lt;=0,0,Inputs!$G$21*D59)</f>
        <v/>
      </c>
      <c r="F59" s="7">
        <f>E59/(1+Inputs!$B$24)^A59</f>
        <v/>
      </c>
      <c r="G59" s="7">
        <f>IF(B59&lt;=0,C59,C59-D59)</f>
        <v/>
      </c>
    </row>
    <row r="60">
      <c r="A60" t="n">
        <v>62</v>
      </c>
      <c r="B60" s="7">
        <f>B59*(1+Inputs!$G$6)</f>
        <v/>
      </c>
      <c r="C60" s="7">
        <f>G59</f>
        <v/>
      </c>
      <c r="D60" s="7">
        <f>MIN(Inputs!$B$25*B60,C60)</f>
        <v/>
      </c>
      <c r="E60" s="7">
        <f>IF(B60&lt;=0,0,Inputs!$G$21*D60)</f>
        <v/>
      </c>
      <c r="F60" s="7">
        <f>E60/(1+Inputs!$B$24)^A60</f>
        <v/>
      </c>
      <c r="G60" s="7">
        <f>IF(B60&lt;=0,C60,C60-D60)</f>
        <v/>
      </c>
    </row>
    <row r="61">
      <c r="A61" t="n">
        <v>63</v>
      </c>
      <c r="B61" s="7">
        <f>B60*(1+Inputs!$G$6)</f>
        <v/>
      </c>
      <c r="C61" s="7">
        <f>G60</f>
        <v/>
      </c>
      <c r="D61" s="7">
        <f>MIN(Inputs!$B$25*B61,C61)</f>
        <v/>
      </c>
      <c r="E61" s="7">
        <f>IF(B61&lt;=0,0,Inputs!$G$21*D61)</f>
        <v/>
      </c>
      <c r="F61" s="7">
        <f>E61/(1+Inputs!$B$24)^A61</f>
        <v/>
      </c>
      <c r="G61" s="7">
        <f>IF(B61&lt;=0,C61,C61-D61)</f>
        <v/>
      </c>
    </row>
    <row r="62">
      <c r="A62" t="n">
        <v>64</v>
      </c>
      <c r="B62" s="7">
        <f>B61*(1+Inputs!$G$6)</f>
        <v/>
      </c>
      <c r="C62" s="7">
        <f>G61</f>
        <v/>
      </c>
      <c r="D62" s="7">
        <f>MIN(Inputs!$B$25*B62,C62)</f>
        <v/>
      </c>
      <c r="E62" s="7">
        <f>IF(B62&lt;=0,0,Inputs!$G$21*D62)</f>
        <v/>
      </c>
      <c r="F62" s="7">
        <f>E62/(1+Inputs!$B$24)^A62</f>
        <v/>
      </c>
      <c r="G62" s="7">
        <f>IF(B62&lt;=0,C62,C62-D62)</f>
        <v/>
      </c>
    </row>
    <row r="63">
      <c r="A63" t="n">
        <v>65</v>
      </c>
      <c r="B63" s="7">
        <f>B62*(1+Inputs!$G$6)</f>
        <v/>
      </c>
      <c r="C63" s="7">
        <f>G62</f>
        <v/>
      </c>
      <c r="D63" s="7">
        <f>MIN(Inputs!$B$25*B63,C63)</f>
        <v/>
      </c>
      <c r="E63" s="7">
        <f>IF(B63&lt;=0,0,Inputs!$G$21*D63)</f>
        <v/>
      </c>
      <c r="F63" s="7">
        <f>E63/(1+Inputs!$B$24)^A63</f>
        <v/>
      </c>
      <c r="G63" s="7">
        <f>IF(B63&lt;=0,C63,C63-D63)</f>
        <v/>
      </c>
    </row>
    <row r="64">
      <c r="A64" t="n">
        <v>66</v>
      </c>
      <c r="B64" s="7">
        <f>B63*(1+Inputs!$G$6)</f>
        <v/>
      </c>
      <c r="C64" s="7">
        <f>G63</f>
        <v/>
      </c>
      <c r="D64" s="7">
        <f>MIN(Inputs!$B$25*B64,C64)</f>
        <v/>
      </c>
      <c r="E64" s="7">
        <f>IF(B64&lt;=0,0,Inputs!$G$21*D64)</f>
        <v/>
      </c>
      <c r="F64" s="7">
        <f>E64/(1+Inputs!$B$24)^A64</f>
        <v/>
      </c>
      <c r="G64" s="7">
        <f>IF(B64&lt;=0,C64,C64-D64)</f>
        <v/>
      </c>
    </row>
    <row r="65">
      <c r="A65" t="n">
        <v>67</v>
      </c>
      <c r="B65" s="7">
        <f>B64*(1+Inputs!$G$6)</f>
        <v/>
      </c>
      <c r="C65" s="7">
        <f>G64</f>
        <v/>
      </c>
      <c r="D65" s="7">
        <f>MIN(Inputs!$B$25*B65,C65)</f>
        <v/>
      </c>
      <c r="E65" s="7">
        <f>IF(B65&lt;=0,0,Inputs!$G$21*D65)</f>
        <v/>
      </c>
      <c r="F65" s="7">
        <f>E65/(1+Inputs!$B$24)^A65</f>
        <v/>
      </c>
      <c r="G65" s="7">
        <f>IF(B65&lt;=0,C65,C65-D65)</f>
        <v/>
      </c>
    </row>
    <row r="66">
      <c r="A66" t="n">
        <v>68</v>
      </c>
      <c r="B66" s="7">
        <f>B65*(1+Inputs!$G$6)</f>
        <v/>
      </c>
      <c r="C66" s="7">
        <f>G65</f>
        <v/>
      </c>
      <c r="D66" s="7">
        <f>MIN(Inputs!$B$25*B66,C66)</f>
        <v/>
      </c>
      <c r="E66" s="7">
        <f>IF(B66&lt;=0,0,Inputs!$G$21*D66)</f>
        <v/>
      </c>
      <c r="F66" s="7">
        <f>E66/(1+Inputs!$B$24)^A66</f>
        <v/>
      </c>
      <c r="G66" s="7">
        <f>IF(B66&lt;=0,C66,C66-D66)</f>
        <v/>
      </c>
    </row>
    <row r="67">
      <c r="A67" t="n">
        <v>69</v>
      </c>
      <c r="B67" s="7">
        <f>B66*(1+Inputs!$G$6)</f>
        <v/>
      </c>
      <c r="C67" s="7">
        <f>G66</f>
        <v/>
      </c>
      <c r="D67" s="7">
        <f>MIN(Inputs!$B$25*B67,C67)</f>
        <v/>
      </c>
      <c r="E67" s="7">
        <f>IF(B67&lt;=0,0,Inputs!$G$21*D67)</f>
        <v/>
      </c>
      <c r="F67" s="7">
        <f>E67/(1+Inputs!$B$24)^A67</f>
        <v/>
      </c>
      <c r="G67" s="7">
        <f>IF(B67&lt;=0,C67,C67-D67)</f>
        <v/>
      </c>
    </row>
    <row r="68">
      <c r="A68" t="n">
        <v>70</v>
      </c>
      <c r="B68" s="7">
        <f>B67*(1+Inputs!$G$6)</f>
        <v/>
      </c>
      <c r="C68" s="7">
        <f>G67</f>
        <v/>
      </c>
      <c r="D68" s="7">
        <f>MIN(Inputs!$B$25*B68,C68)</f>
        <v/>
      </c>
      <c r="E68" s="7">
        <f>IF(B68&lt;=0,0,Inputs!$G$21*D68)</f>
        <v/>
      </c>
      <c r="F68" s="7">
        <f>E68/(1+Inputs!$B$24)^A68</f>
        <v/>
      </c>
      <c r="G68" s="7">
        <f>IF(B68&lt;=0,C68,C68-D68)</f>
        <v/>
      </c>
    </row>
    <row r="69">
      <c r="A69" t="n">
        <v>71</v>
      </c>
      <c r="B69" s="7">
        <f>B68*(1+Inputs!$G$6)</f>
        <v/>
      </c>
      <c r="C69" s="7">
        <f>G68</f>
        <v/>
      </c>
      <c r="D69" s="7">
        <f>MIN(Inputs!$B$25*B69,C69)</f>
        <v/>
      </c>
      <c r="E69" s="7">
        <f>IF(B69&lt;=0,0,Inputs!$G$21*D69)</f>
        <v/>
      </c>
      <c r="F69" s="7">
        <f>E69/(1+Inputs!$B$24)^A69</f>
        <v/>
      </c>
      <c r="G69" s="7">
        <f>IF(B69&lt;=0,C69,C69-D69)</f>
        <v/>
      </c>
    </row>
    <row r="70">
      <c r="A70" t="n">
        <v>72</v>
      </c>
      <c r="B70" s="7">
        <f>B69*(1+Inputs!$G$6)</f>
        <v/>
      </c>
      <c r="C70" s="7">
        <f>G69</f>
        <v/>
      </c>
      <c r="D70" s="7">
        <f>MIN(Inputs!$B$25*B70,C70)</f>
        <v/>
      </c>
      <c r="E70" s="7">
        <f>IF(B70&lt;=0,0,Inputs!$G$21*D70)</f>
        <v/>
      </c>
      <c r="F70" s="7">
        <f>E70/(1+Inputs!$B$24)^A70</f>
        <v/>
      </c>
      <c r="G70" s="7">
        <f>IF(B70&lt;=0,C70,C70-D70)</f>
        <v/>
      </c>
    </row>
    <row r="71">
      <c r="A71" t="n">
        <v>73</v>
      </c>
      <c r="B71" s="7">
        <f>B70*(1+Inputs!$G$6)</f>
        <v/>
      </c>
      <c r="C71" s="7">
        <f>G70</f>
        <v/>
      </c>
      <c r="D71" s="7">
        <f>MIN(Inputs!$B$25*B71,C71)</f>
        <v/>
      </c>
      <c r="E71" s="7">
        <f>IF(B71&lt;=0,0,Inputs!$G$21*D71)</f>
        <v/>
      </c>
      <c r="F71" s="7">
        <f>E71/(1+Inputs!$B$24)^A71</f>
        <v/>
      </c>
      <c r="G71" s="7">
        <f>IF(B71&lt;=0,C71,C71-D71)</f>
        <v/>
      </c>
    </row>
    <row r="72">
      <c r="A72" t="n">
        <v>74</v>
      </c>
      <c r="B72" s="7">
        <f>B71*(1+Inputs!$G$6)</f>
        <v/>
      </c>
      <c r="C72" s="7">
        <f>G71</f>
        <v/>
      </c>
      <c r="D72" s="7">
        <f>MIN(Inputs!$B$25*B72,C72)</f>
        <v/>
      </c>
      <c r="E72" s="7">
        <f>IF(B72&lt;=0,0,Inputs!$G$21*D72)</f>
        <v/>
      </c>
      <c r="F72" s="7">
        <f>E72/(1+Inputs!$B$24)^A72</f>
        <v/>
      </c>
      <c r="G72" s="7">
        <f>IF(B72&lt;=0,C72,C72-D72)</f>
        <v/>
      </c>
    </row>
    <row r="73">
      <c r="A73" t="n">
        <v>75</v>
      </c>
      <c r="B73" s="7">
        <f>B72*(1+Inputs!$G$6)</f>
        <v/>
      </c>
      <c r="C73" s="7">
        <f>G72</f>
        <v/>
      </c>
      <c r="D73" s="7">
        <f>MIN(Inputs!$B$25*B73,C73)</f>
        <v/>
      </c>
      <c r="E73" s="7">
        <f>IF(B73&lt;=0,0,Inputs!$G$21*D73)</f>
        <v/>
      </c>
      <c r="F73" s="7">
        <f>E73/(1+Inputs!$B$24)^A73</f>
        <v/>
      </c>
      <c r="G73" s="7">
        <f>IF(B73&lt;=0,C73,C73-D73)</f>
        <v/>
      </c>
    </row>
    <row r="74">
      <c r="A74" t="n">
        <v>76</v>
      </c>
      <c r="B74" s="7">
        <f>B73*(1+Inputs!$G$6)</f>
        <v/>
      </c>
      <c r="C74" s="7">
        <f>G73</f>
        <v/>
      </c>
      <c r="D74" s="7">
        <f>MIN(Inputs!$B$25*B74,C74)</f>
        <v/>
      </c>
      <c r="E74" s="7">
        <f>IF(B74&lt;=0,0,Inputs!$G$21*D74)</f>
        <v/>
      </c>
      <c r="F74" s="7">
        <f>E74/(1+Inputs!$B$24)^A74</f>
        <v/>
      </c>
      <c r="G74" s="7">
        <f>IF(B74&lt;=0,C74,C74-D74)</f>
        <v/>
      </c>
    </row>
    <row r="75">
      <c r="A75" t="n">
        <v>77</v>
      </c>
      <c r="B75" s="7">
        <f>B74*(1+Inputs!$G$6)</f>
        <v/>
      </c>
      <c r="C75" s="7">
        <f>G74</f>
        <v/>
      </c>
      <c r="D75" s="7">
        <f>MIN(Inputs!$B$25*B75,C75)</f>
        <v/>
      </c>
      <c r="E75" s="7">
        <f>IF(B75&lt;=0,0,Inputs!$G$21*D75)</f>
        <v/>
      </c>
      <c r="F75" s="7">
        <f>E75/(1+Inputs!$B$24)^A75</f>
        <v/>
      </c>
      <c r="G75" s="7">
        <f>IF(B75&lt;=0,C75,C75-D75)</f>
        <v/>
      </c>
    </row>
    <row r="76">
      <c r="A76" t="n">
        <v>78</v>
      </c>
      <c r="B76" s="7">
        <f>B75*(1+Inputs!$G$6)</f>
        <v/>
      </c>
      <c r="C76" s="7">
        <f>G75</f>
        <v/>
      </c>
      <c r="D76" s="7">
        <f>MIN(Inputs!$B$25*B76,C76)</f>
        <v/>
      </c>
      <c r="E76" s="7">
        <f>IF(B76&lt;=0,0,Inputs!$G$21*D76)</f>
        <v/>
      </c>
      <c r="F76" s="7">
        <f>E76/(1+Inputs!$B$24)^A76</f>
        <v/>
      </c>
      <c r="G76" s="7">
        <f>IF(B76&lt;=0,C76,C76-D76)</f>
        <v/>
      </c>
    </row>
    <row r="77">
      <c r="A77" t="n">
        <v>79</v>
      </c>
      <c r="B77" s="7">
        <f>B76*(1+Inputs!$G$6)</f>
        <v/>
      </c>
      <c r="C77" s="7">
        <f>G76</f>
        <v/>
      </c>
      <c r="D77" s="7">
        <f>MIN(Inputs!$B$25*B77,C77)</f>
        <v/>
      </c>
      <c r="E77" s="7">
        <f>IF(B77&lt;=0,0,Inputs!$G$21*D77)</f>
        <v/>
      </c>
      <c r="F77" s="7">
        <f>E77/(1+Inputs!$B$24)^A77</f>
        <v/>
      </c>
      <c r="G77" s="7">
        <f>IF(B77&lt;=0,C77,C77-D77)</f>
        <v/>
      </c>
    </row>
    <row r="78">
      <c r="A78" t="n">
        <v>80</v>
      </c>
      <c r="B78" s="7">
        <f>B77*(1+Inputs!$G$6)</f>
        <v/>
      </c>
      <c r="C78" s="7">
        <f>G77</f>
        <v/>
      </c>
      <c r="D78" s="7">
        <f>MIN(Inputs!$B$25*B78,C78)</f>
        <v/>
      </c>
      <c r="E78" s="7">
        <f>IF(B78&lt;=0,0,Inputs!$G$21*D78)</f>
        <v/>
      </c>
      <c r="F78" s="7">
        <f>E78/(1+Inputs!$B$24)^A78</f>
        <v/>
      </c>
      <c r="G78" s="7">
        <f>IF(B78&lt;=0,C78,C78-D78)</f>
        <v/>
      </c>
    </row>
    <row r="79">
      <c r="A79" t="n">
        <v>81</v>
      </c>
      <c r="B79" s="7">
        <f>B78*(1+Inputs!$G$6)</f>
        <v/>
      </c>
      <c r="C79" s="7">
        <f>G78</f>
        <v/>
      </c>
      <c r="D79" s="7">
        <f>MIN(Inputs!$B$25*B79,C79)</f>
        <v/>
      </c>
      <c r="E79" s="7">
        <f>IF(B79&lt;=0,0,Inputs!$G$21*D79)</f>
        <v/>
      </c>
      <c r="F79" s="7">
        <f>E79/(1+Inputs!$B$24)^A79</f>
        <v/>
      </c>
      <c r="G79" s="7">
        <f>IF(B79&lt;=0,C79,C79-D79)</f>
        <v/>
      </c>
    </row>
    <row r="80">
      <c r="A80" t="n">
        <v>82</v>
      </c>
      <c r="B80" s="7">
        <f>B79*(1+Inputs!$G$6)</f>
        <v/>
      </c>
      <c r="C80" s="7">
        <f>G79</f>
        <v/>
      </c>
      <c r="D80" s="7">
        <f>MIN(Inputs!$B$25*B80,C80)</f>
        <v/>
      </c>
      <c r="E80" s="7">
        <f>IF(B80&lt;=0,0,Inputs!$G$21*D80)</f>
        <v/>
      </c>
      <c r="F80" s="7">
        <f>E80/(1+Inputs!$B$24)^A80</f>
        <v/>
      </c>
      <c r="G80" s="7">
        <f>IF(B80&lt;=0,C80,C80-D80)</f>
        <v/>
      </c>
    </row>
    <row r="81">
      <c r="A81" t="n">
        <v>83</v>
      </c>
      <c r="B81" s="7">
        <f>B80*(1+Inputs!$G$6)</f>
        <v/>
      </c>
      <c r="C81" s="7">
        <f>G80</f>
        <v/>
      </c>
      <c r="D81" s="7">
        <f>MIN(Inputs!$B$25*B81,C81)</f>
        <v/>
      </c>
      <c r="E81" s="7">
        <f>IF(B81&lt;=0,0,Inputs!$G$21*D81)</f>
        <v/>
      </c>
      <c r="F81" s="7">
        <f>E81/(1+Inputs!$B$24)^A81</f>
        <v/>
      </c>
      <c r="G81" s="7">
        <f>IF(B81&lt;=0,C81,C81-D81)</f>
        <v/>
      </c>
    </row>
    <row r="82">
      <c r="A82" t="n">
        <v>84</v>
      </c>
      <c r="B82" s="7">
        <f>B81*(1+Inputs!$G$6)</f>
        <v/>
      </c>
      <c r="C82" s="7">
        <f>G81</f>
        <v/>
      </c>
      <c r="D82" s="7">
        <f>MIN(Inputs!$B$25*B82,C82)</f>
        <v/>
      </c>
      <c r="E82" s="7">
        <f>IF(B82&lt;=0,0,Inputs!$G$21*D82)</f>
        <v/>
      </c>
      <c r="F82" s="7">
        <f>E82/(1+Inputs!$B$24)^A82</f>
        <v/>
      </c>
      <c r="G82" s="7">
        <f>IF(B82&lt;=0,C82,C82-D82)</f>
        <v/>
      </c>
    </row>
    <row r="83">
      <c r="A83" t="n">
        <v>85</v>
      </c>
      <c r="B83" s="7">
        <f>B82*(1+Inputs!$G$6)</f>
        <v/>
      </c>
      <c r="C83" s="7">
        <f>G82</f>
        <v/>
      </c>
      <c r="D83" s="7">
        <f>MIN(Inputs!$B$25*B83,C83)</f>
        <v/>
      </c>
      <c r="E83" s="7">
        <f>IF(B83&lt;=0,0,Inputs!$G$21*D83)</f>
        <v/>
      </c>
      <c r="F83" s="7">
        <f>E83/(1+Inputs!$B$24)^A83</f>
        <v/>
      </c>
      <c r="G83" s="7">
        <f>IF(B83&lt;=0,C83,C83-D83)</f>
        <v/>
      </c>
    </row>
    <row r="84">
      <c r="A84" t="n">
        <v>86</v>
      </c>
      <c r="B84" s="7">
        <f>B83*(1+Inputs!$G$6)</f>
        <v/>
      </c>
      <c r="C84" s="7">
        <f>G83</f>
        <v/>
      </c>
      <c r="D84" s="7">
        <f>MIN(Inputs!$B$25*B84,C84)</f>
        <v/>
      </c>
      <c r="E84" s="7">
        <f>IF(B84&lt;=0,0,Inputs!$G$21*D84)</f>
        <v/>
      </c>
      <c r="F84" s="7">
        <f>E84/(1+Inputs!$B$24)^A84</f>
        <v/>
      </c>
      <c r="G84" s="7">
        <f>IF(B84&lt;=0,C84,C84-D84)</f>
        <v/>
      </c>
    </row>
    <row r="85">
      <c r="A85" t="n">
        <v>87</v>
      </c>
      <c r="B85" s="7">
        <f>B84*(1+Inputs!$G$6)</f>
        <v/>
      </c>
      <c r="C85" s="7">
        <f>G84</f>
        <v/>
      </c>
      <c r="D85" s="7">
        <f>MIN(Inputs!$B$25*B85,C85)</f>
        <v/>
      </c>
      <c r="E85" s="7">
        <f>IF(B85&lt;=0,0,Inputs!$G$21*D85)</f>
        <v/>
      </c>
      <c r="F85" s="7">
        <f>E85/(1+Inputs!$B$24)^A85</f>
        <v/>
      </c>
      <c r="G85" s="7">
        <f>IF(B85&lt;=0,C85,C85-D85)</f>
        <v/>
      </c>
    </row>
    <row r="86">
      <c r="A86" t="n">
        <v>88</v>
      </c>
      <c r="B86" s="7">
        <f>B85*(1+Inputs!$G$6)</f>
        <v/>
      </c>
      <c r="C86" s="7">
        <f>G85</f>
        <v/>
      </c>
      <c r="D86" s="7">
        <f>MIN(Inputs!$B$25*B86,C86)</f>
        <v/>
      </c>
      <c r="E86" s="7">
        <f>IF(B86&lt;=0,0,Inputs!$G$21*D86)</f>
        <v/>
      </c>
      <c r="F86" s="7">
        <f>E86/(1+Inputs!$B$24)^A86</f>
        <v/>
      </c>
      <c r="G86" s="7">
        <f>IF(B86&lt;=0,C86,C86-D86)</f>
        <v/>
      </c>
    </row>
    <row r="87">
      <c r="A87" t="n">
        <v>89</v>
      </c>
      <c r="B87" s="7">
        <f>B86*(1+Inputs!$G$6)</f>
        <v/>
      </c>
      <c r="C87" s="7">
        <f>G86</f>
        <v/>
      </c>
      <c r="D87" s="7">
        <f>MIN(Inputs!$B$25*B87,C87)</f>
        <v/>
      </c>
      <c r="E87" s="7">
        <f>IF(B87&lt;=0,0,Inputs!$G$21*D87)</f>
        <v/>
      </c>
      <c r="F87" s="7">
        <f>E87/(1+Inputs!$B$24)^A87</f>
        <v/>
      </c>
      <c r="G87" s="7">
        <f>IF(B87&lt;=0,C87,C87-D87)</f>
        <v/>
      </c>
    </row>
    <row r="88">
      <c r="A88" t="n">
        <v>90</v>
      </c>
      <c r="B88" s="7">
        <f>B87*(1+Inputs!$G$6)</f>
        <v/>
      </c>
      <c r="C88" s="7">
        <f>G87</f>
        <v/>
      </c>
      <c r="D88" s="7">
        <f>MIN(Inputs!$B$25*B88,C88)</f>
        <v/>
      </c>
      <c r="E88" s="7">
        <f>IF(B88&lt;=0,0,Inputs!$G$21*D88)</f>
        <v/>
      </c>
      <c r="F88" s="7">
        <f>E88/(1+Inputs!$B$24)^A88</f>
        <v/>
      </c>
      <c r="G88" s="7">
        <f>IF(B88&lt;=0,C88,C88-D88)</f>
        <v/>
      </c>
    </row>
    <row r="89">
      <c r="A89" t="n">
        <v>91</v>
      </c>
      <c r="B89" s="7">
        <f>B88*(1+Inputs!$G$6)</f>
        <v/>
      </c>
      <c r="C89" s="7">
        <f>G88</f>
        <v/>
      </c>
      <c r="D89" s="7">
        <f>MIN(Inputs!$B$25*B89,C89)</f>
        <v/>
      </c>
      <c r="E89" s="7">
        <f>IF(B89&lt;=0,0,Inputs!$G$21*D89)</f>
        <v/>
      </c>
      <c r="F89" s="7">
        <f>E89/(1+Inputs!$B$24)^A89</f>
        <v/>
      </c>
      <c r="G89" s="7">
        <f>IF(B89&lt;=0,C89,C89-D89)</f>
        <v/>
      </c>
    </row>
    <row r="90">
      <c r="A90" t="n">
        <v>92</v>
      </c>
      <c r="B90" s="7">
        <f>B89*(1+Inputs!$G$6)</f>
        <v/>
      </c>
      <c r="C90" s="7">
        <f>G89</f>
        <v/>
      </c>
      <c r="D90" s="7">
        <f>MIN(Inputs!$B$25*B90,C90)</f>
        <v/>
      </c>
      <c r="E90" s="7">
        <f>IF(B90&lt;=0,0,Inputs!$G$21*D90)</f>
        <v/>
      </c>
      <c r="F90" s="7">
        <f>E90/(1+Inputs!$B$24)^A90</f>
        <v/>
      </c>
      <c r="G90" s="7">
        <f>IF(B90&lt;=0,C90,C90-D90)</f>
        <v/>
      </c>
    </row>
    <row r="91">
      <c r="A91" t="n">
        <v>93</v>
      </c>
      <c r="B91" s="7">
        <f>B90*(1+Inputs!$G$6)</f>
        <v/>
      </c>
      <c r="C91" s="7">
        <f>G90</f>
        <v/>
      </c>
      <c r="D91" s="7">
        <f>MIN(Inputs!$B$25*B91,C91)</f>
        <v/>
      </c>
      <c r="E91" s="7">
        <f>IF(B91&lt;=0,0,Inputs!$G$21*D91)</f>
        <v/>
      </c>
      <c r="F91" s="7">
        <f>E91/(1+Inputs!$B$24)^A91</f>
        <v/>
      </c>
      <c r="G91" s="7">
        <f>IF(B91&lt;=0,C91,C91-D91)</f>
        <v/>
      </c>
    </row>
    <row r="92">
      <c r="A92" t="n">
        <v>94</v>
      </c>
      <c r="B92" s="7">
        <f>B91*(1+Inputs!$G$6)</f>
        <v/>
      </c>
      <c r="C92" s="7">
        <f>G91</f>
        <v/>
      </c>
      <c r="D92" s="7">
        <f>MIN(Inputs!$B$25*B92,C92)</f>
        <v/>
      </c>
      <c r="E92" s="7">
        <f>IF(B92&lt;=0,0,Inputs!$G$21*D92)</f>
        <v/>
      </c>
      <c r="F92" s="7">
        <f>E92/(1+Inputs!$B$24)^A92</f>
        <v/>
      </c>
      <c r="G92" s="7">
        <f>IF(B92&lt;=0,C92,C92-D92)</f>
        <v/>
      </c>
    </row>
    <row r="93">
      <c r="A93" t="n">
        <v>95</v>
      </c>
      <c r="B93" s="7">
        <f>B92*(1+Inputs!$G$6)</f>
        <v/>
      </c>
      <c r="C93" s="7">
        <f>G92</f>
        <v/>
      </c>
      <c r="D93" s="7">
        <f>MIN(Inputs!$B$25*B93,C93)</f>
        <v/>
      </c>
      <c r="E93" s="7">
        <f>IF(B93&lt;=0,0,Inputs!$G$21*D93)</f>
        <v/>
      </c>
      <c r="F93" s="7">
        <f>E93/(1+Inputs!$B$24)^A93</f>
        <v/>
      </c>
      <c r="G93" s="7">
        <f>IF(B93&lt;=0,C93,C93-D93)</f>
        <v/>
      </c>
    </row>
    <row r="94">
      <c r="A94" t="n">
        <v>96</v>
      </c>
      <c r="B94" s="7">
        <f>B93*(1+Inputs!$G$6)</f>
        <v/>
      </c>
      <c r="C94" s="7">
        <f>G93</f>
        <v/>
      </c>
      <c r="D94" s="7">
        <f>MIN(Inputs!$B$25*B94,C94)</f>
        <v/>
      </c>
      <c r="E94" s="7">
        <f>IF(B94&lt;=0,0,Inputs!$G$21*D94)</f>
        <v/>
      </c>
      <c r="F94" s="7">
        <f>E94/(1+Inputs!$B$24)^A94</f>
        <v/>
      </c>
      <c r="G94" s="7">
        <f>IF(B94&lt;=0,C94,C94-D94)</f>
        <v/>
      </c>
    </row>
    <row r="95">
      <c r="A95" t="n">
        <v>97</v>
      </c>
      <c r="B95" s="7">
        <f>B94*(1+Inputs!$G$6)</f>
        <v/>
      </c>
      <c r="C95" s="7">
        <f>G94</f>
        <v/>
      </c>
      <c r="D95" s="7">
        <f>MIN(Inputs!$B$25*B95,C95)</f>
        <v/>
      </c>
      <c r="E95" s="7">
        <f>IF(B95&lt;=0,0,Inputs!$G$21*D95)</f>
        <v/>
      </c>
      <c r="F95" s="7">
        <f>E95/(1+Inputs!$B$24)^A95</f>
        <v/>
      </c>
      <c r="G95" s="7">
        <f>IF(B95&lt;=0,C95,C95-D95)</f>
        <v/>
      </c>
    </row>
    <row r="96">
      <c r="A96" t="n">
        <v>98</v>
      </c>
      <c r="B96" s="7">
        <f>B95*(1+Inputs!$G$6)</f>
        <v/>
      </c>
      <c r="C96" s="7">
        <f>G95</f>
        <v/>
      </c>
      <c r="D96" s="7">
        <f>MIN(Inputs!$B$25*B96,C96)</f>
        <v/>
      </c>
      <c r="E96" s="7">
        <f>IF(B96&lt;=0,0,Inputs!$G$21*D96)</f>
        <v/>
      </c>
      <c r="F96" s="7">
        <f>E96/(1+Inputs!$B$24)^A96</f>
        <v/>
      </c>
      <c r="G96" s="7">
        <f>IF(B96&lt;=0,C96,C96-D96)</f>
        <v/>
      </c>
    </row>
    <row r="97">
      <c r="A97" t="n">
        <v>99</v>
      </c>
      <c r="B97" s="7">
        <f>B96*(1+Inputs!$G$6)</f>
        <v/>
      </c>
      <c r="C97" s="7">
        <f>G96</f>
        <v/>
      </c>
      <c r="D97" s="7">
        <f>MIN(Inputs!$B$25*B97,C97)</f>
        <v/>
      </c>
      <c r="E97" s="7">
        <f>IF(B97&lt;=0,0,Inputs!$G$21*D97)</f>
        <v/>
      </c>
      <c r="F97" s="7">
        <f>E97/(1+Inputs!$B$24)^A97</f>
        <v/>
      </c>
      <c r="G97" s="7">
        <f>IF(B97&lt;=0,C97,C97-D97)</f>
        <v/>
      </c>
    </row>
    <row r="98">
      <c r="A98" t="n">
        <v>100</v>
      </c>
      <c r="B98" s="7">
        <f>B97*(1+Inputs!$G$6)</f>
        <v/>
      </c>
      <c r="C98" s="7">
        <f>G97</f>
        <v/>
      </c>
      <c r="D98" s="7">
        <f>MIN(Inputs!$B$25*B98,C98)</f>
        <v/>
      </c>
      <c r="E98" s="7">
        <f>IF(B98&lt;=0,0,Inputs!$G$21*D98)</f>
        <v/>
      </c>
      <c r="F98" s="7">
        <f>E98/(1+Inputs!$B$24)^A98</f>
        <v/>
      </c>
      <c r="G98" s="7">
        <f>IF(B98&lt;=0,C98,C98-D98)</f>
        <v/>
      </c>
    </row>
    <row r="99">
      <c r="A99" t="n">
        <v>101</v>
      </c>
      <c r="B99" s="7">
        <f>B98*(1+Inputs!$G$6)</f>
        <v/>
      </c>
      <c r="C99" s="7">
        <f>G98</f>
        <v/>
      </c>
      <c r="D99" s="7">
        <f>MIN(Inputs!$B$25*B99,C99)</f>
        <v/>
      </c>
      <c r="E99" s="7">
        <f>IF(B99&lt;=0,0,Inputs!$G$21*D99)</f>
        <v/>
      </c>
      <c r="F99" s="7">
        <f>E99/(1+Inputs!$B$24)^A99</f>
        <v/>
      </c>
      <c r="G99" s="7">
        <f>IF(B99&lt;=0,C99,C99-D99)</f>
        <v/>
      </c>
    </row>
    <row r="100">
      <c r="A100" t="n">
        <v>102</v>
      </c>
      <c r="B100" s="7">
        <f>B99*(1+Inputs!$G$6)</f>
        <v/>
      </c>
      <c r="C100" s="7">
        <f>G99</f>
        <v/>
      </c>
      <c r="D100" s="7">
        <f>MIN(Inputs!$B$25*B100,C100)</f>
        <v/>
      </c>
      <c r="E100" s="7">
        <f>IF(B100&lt;=0,0,Inputs!$G$21*D100)</f>
        <v/>
      </c>
      <c r="F100" s="7">
        <f>E100/(1+Inputs!$B$24)^A100</f>
        <v/>
      </c>
      <c r="G100" s="7">
        <f>IF(B100&lt;=0,C100,C100-D100)</f>
        <v/>
      </c>
    </row>
    <row r="101">
      <c r="A101" t="n">
        <v>103</v>
      </c>
      <c r="B101" s="7">
        <f>B100*(1+Inputs!$G$6)</f>
        <v/>
      </c>
      <c r="C101" s="7">
        <f>G100</f>
        <v/>
      </c>
      <c r="D101" s="7">
        <f>MIN(Inputs!$B$25*B101,C101)</f>
        <v/>
      </c>
      <c r="E101" s="7">
        <f>IF(B101&lt;=0,0,Inputs!$G$21*D101)</f>
        <v/>
      </c>
      <c r="F101" s="7">
        <f>E101/(1+Inputs!$B$24)^A101</f>
        <v/>
      </c>
      <c r="G101" s="7">
        <f>IF(B101&lt;=0,C101,C101-D101)</f>
        <v/>
      </c>
    </row>
    <row r="102">
      <c r="A102" t="n">
        <v>104</v>
      </c>
      <c r="B102" s="7">
        <f>B101*(1+Inputs!$G$6)</f>
        <v/>
      </c>
      <c r="C102" s="7">
        <f>G101</f>
        <v/>
      </c>
      <c r="D102" s="7">
        <f>MIN(Inputs!$B$25*B102,C102)</f>
        <v/>
      </c>
      <c r="E102" s="7">
        <f>IF(B102&lt;=0,0,Inputs!$G$21*D102)</f>
        <v/>
      </c>
      <c r="F102" s="7">
        <f>E102/(1+Inputs!$B$24)^A102</f>
        <v/>
      </c>
      <c r="G102" s="7">
        <f>IF(B102&lt;=0,C102,C102-D102)</f>
        <v/>
      </c>
    </row>
    <row r="103">
      <c r="A103" t="n">
        <v>105</v>
      </c>
      <c r="B103" s="7">
        <f>B102*(1+Inputs!$G$6)</f>
        <v/>
      </c>
      <c r="C103" s="7">
        <f>G102</f>
        <v/>
      </c>
      <c r="D103" s="7">
        <f>MIN(Inputs!$B$25*B103,C103)</f>
        <v/>
      </c>
      <c r="E103" s="7">
        <f>IF(B103&lt;=0,0,Inputs!$G$21*D103)</f>
        <v/>
      </c>
      <c r="F103" s="7">
        <f>E103/(1+Inputs!$B$24)^A103</f>
        <v/>
      </c>
      <c r="G103" s="7">
        <f>IF(B103&lt;=0,C103,C103-D103)</f>
        <v/>
      </c>
    </row>
    <row r="104">
      <c r="A104" t="n">
        <v>106</v>
      </c>
      <c r="B104" s="7">
        <f>B103*(1+Inputs!$G$6)</f>
        <v/>
      </c>
      <c r="C104" s="7">
        <f>G103</f>
        <v/>
      </c>
      <c r="D104" s="7">
        <f>MIN(Inputs!$B$25*B104,C104)</f>
        <v/>
      </c>
      <c r="E104" s="7">
        <f>IF(B104&lt;=0,0,Inputs!$G$21*D104)</f>
        <v/>
      </c>
      <c r="F104" s="7">
        <f>E104/(1+Inputs!$B$24)^A104</f>
        <v/>
      </c>
      <c r="G104" s="7">
        <f>IF(B104&lt;=0,C104,C104-D104)</f>
        <v/>
      </c>
    </row>
    <row r="105">
      <c r="A105" t="n">
        <v>107</v>
      </c>
      <c r="B105" s="7">
        <f>B104*(1+Inputs!$G$6)</f>
        <v/>
      </c>
      <c r="C105" s="7">
        <f>G104</f>
        <v/>
      </c>
      <c r="D105" s="7">
        <f>MIN(Inputs!$B$25*B105,C105)</f>
        <v/>
      </c>
      <c r="E105" s="7">
        <f>IF(B105&lt;=0,0,Inputs!$G$21*D105)</f>
        <v/>
      </c>
      <c r="F105" s="7">
        <f>E105/(1+Inputs!$B$24)^A105</f>
        <v/>
      </c>
      <c r="G105" s="7">
        <f>IF(B105&lt;=0,C105,C105-D105)</f>
        <v/>
      </c>
    </row>
    <row r="106">
      <c r="A106" t="n">
        <v>108</v>
      </c>
      <c r="B106" s="7">
        <f>B105*(1+Inputs!$G$6)</f>
        <v/>
      </c>
      <c r="C106" s="7">
        <f>G105</f>
        <v/>
      </c>
      <c r="D106" s="7">
        <f>MIN(Inputs!$B$25*B106,C106)</f>
        <v/>
      </c>
      <c r="E106" s="7">
        <f>IF(B106&lt;=0,0,Inputs!$G$21*D106)</f>
        <v/>
      </c>
      <c r="F106" s="7">
        <f>E106/(1+Inputs!$B$24)^A106</f>
        <v/>
      </c>
      <c r="G106" s="7">
        <f>IF(B106&lt;=0,C106,C106-D106)</f>
        <v/>
      </c>
    </row>
    <row r="107">
      <c r="A107" t="n">
        <v>109</v>
      </c>
      <c r="B107" s="7">
        <f>B106*(1+Inputs!$G$6)</f>
        <v/>
      </c>
      <c r="C107" s="7">
        <f>G106</f>
        <v/>
      </c>
      <c r="D107" s="7">
        <f>MIN(Inputs!$B$25*B107,C107)</f>
        <v/>
      </c>
      <c r="E107" s="7">
        <f>IF(B107&lt;=0,0,Inputs!$G$21*D107)</f>
        <v/>
      </c>
      <c r="F107" s="7">
        <f>E107/(1+Inputs!$B$24)^A107</f>
        <v/>
      </c>
      <c r="G107" s="7">
        <f>IF(B107&lt;=0,C107,C107-D107)</f>
        <v/>
      </c>
    </row>
    <row r="108">
      <c r="A108" t="n">
        <v>110</v>
      </c>
      <c r="B108" s="7">
        <f>B107*(1+Inputs!$G$6)</f>
        <v/>
      </c>
      <c r="C108" s="7">
        <f>G107</f>
        <v/>
      </c>
      <c r="D108" s="7">
        <f>MIN(Inputs!$B$25*B108,C108)</f>
        <v/>
      </c>
      <c r="E108" s="7">
        <f>IF(B108&lt;=0,0,Inputs!$G$21*D108)</f>
        <v/>
      </c>
      <c r="F108" s="7">
        <f>E108/(1+Inputs!$B$24)^A108</f>
        <v/>
      </c>
      <c r="G108" s="7">
        <f>IF(B108&lt;=0,C108,C108-D108)</f>
        <v/>
      </c>
    </row>
    <row r="109">
      <c r="A109" t="n">
        <v>111</v>
      </c>
      <c r="B109" s="7">
        <f>B108*(1+Inputs!$G$6)</f>
        <v/>
      </c>
      <c r="C109" s="7">
        <f>G108</f>
        <v/>
      </c>
      <c r="D109" s="7">
        <f>MIN(Inputs!$B$25*B109,C109)</f>
        <v/>
      </c>
      <c r="E109" s="7">
        <f>IF(B109&lt;=0,0,Inputs!$G$21*D109)</f>
        <v/>
      </c>
      <c r="F109" s="7">
        <f>E109/(1+Inputs!$B$24)^A109</f>
        <v/>
      </c>
      <c r="G109" s="7">
        <f>IF(B109&lt;=0,C109,C109-D109)</f>
        <v/>
      </c>
    </row>
    <row r="110">
      <c r="A110" t="n">
        <v>112</v>
      </c>
      <c r="B110" s="7">
        <f>B109*(1+Inputs!$G$6)</f>
        <v/>
      </c>
      <c r="C110" s="7">
        <f>G109</f>
        <v/>
      </c>
      <c r="D110" s="7">
        <f>MIN(Inputs!$B$25*B110,C110)</f>
        <v/>
      </c>
      <c r="E110" s="7">
        <f>IF(B110&lt;=0,0,Inputs!$G$21*D110)</f>
        <v/>
      </c>
      <c r="F110" s="7">
        <f>E110/(1+Inputs!$B$24)^A110</f>
        <v/>
      </c>
      <c r="G110" s="7">
        <f>IF(B110&lt;=0,C110,C110-D110)</f>
        <v/>
      </c>
    </row>
    <row r="111">
      <c r="A111" t="n">
        <v>113</v>
      </c>
      <c r="B111" s="7">
        <f>B110*(1+Inputs!$G$6)</f>
        <v/>
      </c>
      <c r="C111" s="7">
        <f>G110</f>
        <v/>
      </c>
      <c r="D111" s="7">
        <f>MIN(Inputs!$B$25*B111,C111)</f>
        <v/>
      </c>
      <c r="E111" s="7">
        <f>IF(B111&lt;=0,0,Inputs!$G$21*D111)</f>
        <v/>
      </c>
      <c r="F111" s="7">
        <f>E111/(1+Inputs!$B$24)^A111</f>
        <v/>
      </c>
      <c r="G111" s="7">
        <f>IF(B111&lt;=0,C111,C111-D111)</f>
        <v/>
      </c>
    </row>
    <row r="112">
      <c r="A112" t="n">
        <v>114</v>
      </c>
      <c r="B112" s="7">
        <f>B111*(1+Inputs!$G$6)</f>
        <v/>
      </c>
      <c r="C112" s="7">
        <f>G111</f>
        <v/>
      </c>
      <c r="D112" s="7">
        <f>MIN(Inputs!$B$25*B112,C112)</f>
        <v/>
      </c>
      <c r="E112" s="7">
        <f>IF(B112&lt;=0,0,Inputs!$G$21*D112)</f>
        <v/>
      </c>
      <c r="F112" s="7">
        <f>E112/(1+Inputs!$B$24)^A112</f>
        <v/>
      </c>
      <c r="G112" s="7">
        <f>IF(B112&lt;=0,C112,C112-D112)</f>
        <v/>
      </c>
    </row>
    <row r="113">
      <c r="A113" t="n">
        <v>115</v>
      </c>
      <c r="B113" s="7">
        <f>B112*(1+Inputs!$G$6)</f>
        <v/>
      </c>
      <c r="C113" s="7">
        <f>G112</f>
        <v/>
      </c>
      <c r="D113" s="7">
        <f>MIN(Inputs!$B$25*B113,C113)</f>
        <v/>
      </c>
      <c r="E113" s="7">
        <f>IF(B113&lt;=0,0,Inputs!$G$21*D113)</f>
        <v/>
      </c>
      <c r="F113" s="7">
        <f>E113/(1+Inputs!$B$24)^A113</f>
        <v/>
      </c>
      <c r="G113" s="7">
        <f>IF(B113&lt;=0,C113,C113-D113)</f>
        <v/>
      </c>
    </row>
    <row r="114">
      <c r="A114" t="n">
        <v>116</v>
      </c>
      <c r="B114" s="7">
        <f>B113*(1+Inputs!$G$6)</f>
        <v/>
      </c>
      <c r="C114" s="7">
        <f>G113</f>
        <v/>
      </c>
      <c r="D114" s="7">
        <f>MIN(Inputs!$B$25*B114,C114)</f>
        <v/>
      </c>
      <c r="E114" s="7">
        <f>IF(B114&lt;=0,0,Inputs!$G$21*D114)</f>
        <v/>
      </c>
      <c r="F114" s="7">
        <f>E114/(1+Inputs!$B$24)^A114</f>
        <v/>
      </c>
      <c r="G114" s="7">
        <f>IF(B114&lt;=0,C114,C114-D114)</f>
        <v/>
      </c>
    </row>
    <row r="115">
      <c r="A115" t="n">
        <v>117</v>
      </c>
      <c r="B115" s="7">
        <f>B114*(1+Inputs!$G$6)</f>
        <v/>
      </c>
      <c r="C115" s="7">
        <f>G114</f>
        <v/>
      </c>
      <c r="D115" s="7">
        <f>MIN(Inputs!$B$25*B115,C115)</f>
        <v/>
      </c>
      <c r="E115" s="7">
        <f>IF(B115&lt;=0,0,Inputs!$G$21*D115)</f>
        <v/>
      </c>
      <c r="F115" s="7">
        <f>E115/(1+Inputs!$B$24)^A115</f>
        <v/>
      </c>
      <c r="G115" s="7">
        <f>IF(B115&lt;=0,C115,C115-D115)</f>
        <v/>
      </c>
    </row>
    <row r="116">
      <c r="A116" t="n">
        <v>118</v>
      </c>
      <c r="B116" s="7">
        <f>B115*(1+Inputs!$G$6)</f>
        <v/>
      </c>
      <c r="C116" s="7">
        <f>G115</f>
        <v/>
      </c>
      <c r="D116" s="7">
        <f>MIN(Inputs!$B$25*B116,C116)</f>
        <v/>
      </c>
      <c r="E116" s="7">
        <f>IF(B116&lt;=0,0,Inputs!$G$21*D116)</f>
        <v/>
      </c>
      <c r="F116" s="7">
        <f>E116/(1+Inputs!$B$24)^A116</f>
        <v/>
      </c>
      <c r="G116" s="7">
        <f>IF(B116&lt;=0,C116,C116-D116)</f>
        <v/>
      </c>
    </row>
    <row r="117">
      <c r="A117" t="n">
        <v>119</v>
      </c>
      <c r="B117" s="7">
        <f>B116*(1+Inputs!$G$6)</f>
        <v/>
      </c>
      <c r="C117" s="7">
        <f>G116</f>
        <v/>
      </c>
      <c r="D117" s="7">
        <f>MIN(Inputs!$B$25*B117,C117)</f>
        <v/>
      </c>
      <c r="E117" s="7">
        <f>IF(B117&lt;=0,0,Inputs!$G$21*D117)</f>
        <v/>
      </c>
      <c r="F117" s="7">
        <f>E117/(1+Inputs!$B$24)^A117</f>
        <v/>
      </c>
      <c r="G117" s="7">
        <f>IF(B117&lt;=0,C117,C117-D117)</f>
        <v/>
      </c>
    </row>
    <row r="118">
      <c r="A118" t="n">
        <v>120</v>
      </c>
      <c r="B118" s="7">
        <f>B117*(1+Inputs!$G$6)</f>
        <v/>
      </c>
      <c r="C118" s="7">
        <f>G117</f>
        <v/>
      </c>
      <c r="D118" s="7">
        <f>MIN(Inputs!$B$25*B118,C118)</f>
        <v/>
      </c>
      <c r="E118" s="7">
        <f>IF(B118&lt;=0,0,Inputs!$G$21*D118)</f>
        <v/>
      </c>
      <c r="F118" s="7">
        <f>E118/(1+Inputs!$B$24)^A118</f>
        <v/>
      </c>
      <c r="G118" s="7">
        <f>IF(B118&lt;=0,C118,C118-D118)</f>
        <v/>
      </c>
    </row>
    <row r="119">
      <c r="A119" t="n">
        <v>121</v>
      </c>
      <c r="B119" s="7">
        <f>B118*(1+Inputs!$G$6)</f>
        <v/>
      </c>
      <c r="C119" s="7">
        <f>G118</f>
        <v/>
      </c>
      <c r="D119" s="7">
        <f>MIN(Inputs!$B$25*B119,C119)</f>
        <v/>
      </c>
      <c r="E119" s="7">
        <f>IF(B119&lt;=0,0,Inputs!$G$21*D119)</f>
        <v/>
      </c>
      <c r="F119" s="7">
        <f>E119/(1+Inputs!$B$24)^A119</f>
        <v/>
      </c>
      <c r="G119" s="7">
        <f>IF(B119&lt;=0,C119,C119-D119)</f>
        <v/>
      </c>
    </row>
    <row r="120">
      <c r="A120" t="n">
        <v>122</v>
      </c>
      <c r="B120" s="7">
        <f>B119*(1+Inputs!$G$6)</f>
        <v/>
      </c>
      <c r="C120" s="7">
        <f>G119</f>
        <v/>
      </c>
      <c r="D120" s="7">
        <f>MIN(Inputs!$B$25*B120,C120)</f>
        <v/>
      </c>
      <c r="E120" s="7">
        <f>IF(B120&lt;=0,0,Inputs!$G$21*D120)</f>
        <v/>
      </c>
      <c r="F120" s="7">
        <f>E120/(1+Inputs!$B$24)^A120</f>
        <v/>
      </c>
      <c r="G120" s="7">
        <f>IF(B120&lt;=0,C120,C120-D120)</f>
        <v/>
      </c>
    </row>
    <row r="121">
      <c r="A121" t="n">
        <v>123</v>
      </c>
      <c r="B121" s="7">
        <f>B120*(1+Inputs!$G$6)</f>
        <v/>
      </c>
      <c r="C121" s="7">
        <f>G120</f>
        <v/>
      </c>
      <c r="D121" s="7">
        <f>MIN(Inputs!$B$25*B121,C121)</f>
        <v/>
      </c>
      <c r="E121" s="7">
        <f>IF(B121&lt;=0,0,Inputs!$G$21*D121)</f>
        <v/>
      </c>
      <c r="F121" s="7">
        <f>E121/(1+Inputs!$B$24)^A121</f>
        <v/>
      </c>
      <c r="G121" s="7">
        <f>IF(B121&lt;=0,C121,C121-D121)</f>
        <v/>
      </c>
    </row>
    <row r="122">
      <c r="A122" t="n">
        <v>124</v>
      </c>
      <c r="B122" s="7">
        <f>B121*(1+Inputs!$G$6)</f>
        <v/>
      </c>
      <c r="C122" s="7">
        <f>G121</f>
        <v/>
      </c>
      <c r="D122" s="7">
        <f>MIN(Inputs!$B$25*B122,C122)</f>
        <v/>
      </c>
      <c r="E122" s="7">
        <f>IF(B122&lt;=0,0,Inputs!$G$21*D122)</f>
        <v/>
      </c>
      <c r="F122" s="7">
        <f>E122/(1+Inputs!$B$24)^A122</f>
        <v/>
      </c>
      <c r="G122" s="7">
        <f>IF(B122&lt;=0,C122,C122-D122)</f>
        <v/>
      </c>
    </row>
    <row r="123">
      <c r="A123" t="n">
        <v>125</v>
      </c>
      <c r="B123" s="7">
        <f>B122*(1+Inputs!$G$6)</f>
        <v/>
      </c>
      <c r="C123" s="7">
        <f>G122</f>
        <v/>
      </c>
      <c r="D123" s="7">
        <f>MIN(Inputs!$B$25*B123,C123)</f>
        <v/>
      </c>
      <c r="E123" s="7">
        <f>IF(B123&lt;=0,0,Inputs!$G$21*D123)</f>
        <v/>
      </c>
      <c r="F123" s="7">
        <f>E123/(1+Inputs!$B$24)^A123</f>
        <v/>
      </c>
      <c r="G123" s="7">
        <f>IF(B123&lt;=0,C123,C123-D123)</f>
        <v/>
      </c>
    </row>
    <row r="124">
      <c r="A124" t="n">
        <v>126</v>
      </c>
      <c r="B124" s="7">
        <f>B123*(1+Inputs!$G$6)</f>
        <v/>
      </c>
      <c r="C124" s="7">
        <f>G123</f>
        <v/>
      </c>
      <c r="D124" s="7">
        <f>MIN(Inputs!$B$25*B124,C124)</f>
        <v/>
      </c>
      <c r="E124" s="7">
        <f>IF(B124&lt;=0,0,Inputs!$G$21*D124)</f>
        <v/>
      </c>
      <c r="F124" s="7">
        <f>E124/(1+Inputs!$B$24)^A124</f>
        <v/>
      </c>
      <c r="G124" s="7">
        <f>IF(B124&lt;=0,C124,C124-D124)</f>
        <v/>
      </c>
    </row>
    <row r="125">
      <c r="A125" t="n">
        <v>127</v>
      </c>
      <c r="B125" s="7">
        <f>B124*(1+Inputs!$G$6)</f>
        <v/>
      </c>
      <c r="C125" s="7">
        <f>G124</f>
        <v/>
      </c>
      <c r="D125" s="7">
        <f>MIN(Inputs!$B$25*B125,C125)</f>
        <v/>
      </c>
      <c r="E125" s="7">
        <f>IF(B125&lt;=0,0,Inputs!$G$21*D125)</f>
        <v/>
      </c>
      <c r="F125" s="7">
        <f>E125/(1+Inputs!$B$24)^A125</f>
        <v/>
      </c>
      <c r="G125" s="7">
        <f>IF(B125&lt;=0,C125,C125-D125)</f>
        <v/>
      </c>
    </row>
    <row r="126">
      <c r="A126" t="n">
        <v>128</v>
      </c>
      <c r="B126" s="7">
        <f>B125*(1+Inputs!$G$6)</f>
        <v/>
      </c>
      <c r="C126" s="7">
        <f>G125</f>
        <v/>
      </c>
      <c r="D126" s="7">
        <f>MIN(Inputs!$B$25*B126,C126)</f>
        <v/>
      </c>
      <c r="E126" s="7">
        <f>IF(B126&lt;=0,0,Inputs!$G$21*D126)</f>
        <v/>
      </c>
      <c r="F126" s="7">
        <f>E126/(1+Inputs!$B$24)^A126</f>
        <v/>
      </c>
      <c r="G126" s="7">
        <f>IF(B126&lt;=0,C126,C126-D126)</f>
        <v/>
      </c>
    </row>
    <row r="127">
      <c r="A127" t="n">
        <v>129</v>
      </c>
      <c r="B127" s="7">
        <f>B126*(1+Inputs!$G$6)</f>
        <v/>
      </c>
      <c r="C127" s="7">
        <f>G126</f>
        <v/>
      </c>
      <c r="D127" s="7">
        <f>MIN(Inputs!$B$25*B127,C127)</f>
        <v/>
      </c>
      <c r="E127" s="7">
        <f>IF(B127&lt;=0,0,Inputs!$G$21*D127)</f>
        <v/>
      </c>
      <c r="F127" s="7">
        <f>E127/(1+Inputs!$B$24)^A127</f>
        <v/>
      </c>
      <c r="G127" s="7">
        <f>IF(B127&lt;=0,C127,C127-D127)</f>
        <v/>
      </c>
    </row>
    <row r="128">
      <c r="A128" t="n">
        <v>130</v>
      </c>
      <c r="B128" s="7">
        <f>B127*(1+Inputs!$G$6)</f>
        <v/>
      </c>
      <c r="C128" s="7">
        <f>G127</f>
        <v/>
      </c>
      <c r="D128" s="7">
        <f>MIN(Inputs!$B$25*B128,C128)</f>
        <v/>
      </c>
      <c r="E128" s="7">
        <f>IF(B128&lt;=0,0,Inputs!$G$21*D128)</f>
        <v/>
      </c>
      <c r="F128" s="7">
        <f>E128/(1+Inputs!$B$24)^A128</f>
        <v/>
      </c>
      <c r="G128" s="7">
        <f>IF(B128&lt;=0,C128,C128-D128)</f>
        <v/>
      </c>
    </row>
    <row r="129">
      <c r="A129" t="n">
        <v>131</v>
      </c>
      <c r="B129" s="7">
        <f>B128*(1+Inputs!$G$6)</f>
        <v/>
      </c>
      <c r="C129" s="7">
        <f>G128</f>
        <v/>
      </c>
      <c r="D129" s="7">
        <f>MIN(Inputs!$B$25*B129,C129)</f>
        <v/>
      </c>
      <c r="E129" s="7">
        <f>IF(B129&lt;=0,0,Inputs!$G$21*D129)</f>
        <v/>
      </c>
      <c r="F129" s="7">
        <f>E129/(1+Inputs!$B$24)^A129</f>
        <v/>
      </c>
      <c r="G129" s="7">
        <f>IF(B129&lt;=0,C129,C129-D129)</f>
        <v/>
      </c>
    </row>
    <row r="130">
      <c r="A130" t="n">
        <v>132</v>
      </c>
      <c r="B130" s="7">
        <f>B129*(1+Inputs!$G$6)</f>
        <v/>
      </c>
      <c r="C130" s="7">
        <f>G129</f>
        <v/>
      </c>
      <c r="D130" s="7">
        <f>MIN(Inputs!$B$25*B130,C130)</f>
        <v/>
      </c>
      <c r="E130" s="7">
        <f>IF(B130&lt;=0,0,Inputs!$G$21*D130)</f>
        <v/>
      </c>
      <c r="F130" s="7">
        <f>E130/(1+Inputs!$B$24)^A130</f>
        <v/>
      </c>
      <c r="G130" s="7">
        <f>IF(B130&lt;=0,C130,C130-D130)</f>
        <v/>
      </c>
    </row>
    <row r="131">
      <c r="A131" t="n">
        <v>133</v>
      </c>
      <c r="B131" s="7">
        <f>B130*(1+Inputs!$G$6)</f>
        <v/>
      </c>
      <c r="C131" s="7">
        <f>G130</f>
        <v/>
      </c>
      <c r="D131" s="7">
        <f>MIN(Inputs!$B$25*B131,C131)</f>
        <v/>
      </c>
      <c r="E131" s="7">
        <f>IF(B131&lt;=0,0,Inputs!$G$21*D131)</f>
        <v/>
      </c>
      <c r="F131" s="7">
        <f>E131/(1+Inputs!$B$24)^A131</f>
        <v/>
      </c>
      <c r="G131" s="7">
        <f>IF(B131&lt;=0,C131,C131-D131)</f>
        <v/>
      </c>
    </row>
    <row r="132">
      <c r="A132" t="n">
        <v>134</v>
      </c>
      <c r="B132" s="7">
        <f>B131*(1+Inputs!$G$6)</f>
        <v/>
      </c>
      <c r="C132" s="7">
        <f>G131</f>
        <v/>
      </c>
      <c r="D132" s="7">
        <f>MIN(Inputs!$B$25*B132,C132)</f>
        <v/>
      </c>
      <c r="E132" s="7">
        <f>IF(B132&lt;=0,0,Inputs!$G$21*D132)</f>
        <v/>
      </c>
      <c r="F132" s="7">
        <f>E132/(1+Inputs!$B$24)^A132</f>
        <v/>
      </c>
      <c r="G132" s="7">
        <f>IF(B132&lt;=0,C132,C132-D132)</f>
        <v/>
      </c>
    </row>
    <row r="133">
      <c r="A133" t="n">
        <v>135</v>
      </c>
      <c r="B133" s="7">
        <f>B132*(1+Inputs!$G$6)</f>
        <v/>
      </c>
      <c r="C133" s="7">
        <f>G132</f>
        <v/>
      </c>
      <c r="D133" s="7">
        <f>MIN(Inputs!$B$25*B133,C133)</f>
        <v/>
      </c>
      <c r="E133" s="7">
        <f>IF(B133&lt;=0,0,Inputs!$G$21*D133)</f>
        <v/>
      </c>
      <c r="F133" s="7">
        <f>E133/(1+Inputs!$B$24)^A133</f>
        <v/>
      </c>
      <c r="G133" s="7">
        <f>IF(B133&lt;=0,C133,C133-D133)</f>
        <v/>
      </c>
    </row>
    <row r="134">
      <c r="A134" t="n">
        <v>136</v>
      </c>
      <c r="B134" s="7">
        <f>B133*(1+Inputs!$G$6)</f>
        <v/>
      </c>
      <c r="C134" s="7">
        <f>G133</f>
        <v/>
      </c>
      <c r="D134" s="7">
        <f>MIN(Inputs!$B$25*B134,C134)</f>
        <v/>
      </c>
      <c r="E134" s="7">
        <f>IF(B134&lt;=0,0,Inputs!$G$21*D134)</f>
        <v/>
      </c>
      <c r="F134" s="7">
        <f>E134/(1+Inputs!$B$24)^A134</f>
        <v/>
      </c>
      <c r="G134" s="7">
        <f>IF(B134&lt;=0,C134,C134-D134)</f>
        <v/>
      </c>
    </row>
    <row r="135">
      <c r="A135" t="n">
        <v>137</v>
      </c>
      <c r="B135" s="7">
        <f>B134*(1+Inputs!$G$6)</f>
        <v/>
      </c>
      <c r="C135" s="7">
        <f>G134</f>
        <v/>
      </c>
      <c r="D135" s="7">
        <f>MIN(Inputs!$B$25*B135,C135)</f>
        <v/>
      </c>
      <c r="E135" s="7">
        <f>IF(B135&lt;=0,0,Inputs!$G$21*D135)</f>
        <v/>
      </c>
      <c r="F135" s="7">
        <f>E135/(1+Inputs!$B$24)^A135</f>
        <v/>
      </c>
      <c r="G135" s="7">
        <f>IF(B135&lt;=0,C135,C135-D135)</f>
        <v/>
      </c>
    </row>
    <row r="136">
      <c r="A136" t="n">
        <v>138</v>
      </c>
      <c r="B136" s="7">
        <f>B135*(1+Inputs!$G$6)</f>
        <v/>
      </c>
      <c r="C136" s="7">
        <f>G135</f>
        <v/>
      </c>
      <c r="D136" s="7">
        <f>MIN(Inputs!$B$25*B136,C136)</f>
        <v/>
      </c>
      <c r="E136" s="7">
        <f>IF(B136&lt;=0,0,Inputs!$G$21*D136)</f>
        <v/>
      </c>
      <c r="F136" s="7">
        <f>E136/(1+Inputs!$B$24)^A136</f>
        <v/>
      </c>
      <c r="G136" s="7">
        <f>IF(B136&lt;=0,C136,C136-D136)</f>
        <v/>
      </c>
    </row>
    <row r="137">
      <c r="A137" t="n">
        <v>139</v>
      </c>
      <c r="B137" s="7">
        <f>B136*(1+Inputs!$G$6)</f>
        <v/>
      </c>
      <c r="C137" s="7">
        <f>G136</f>
        <v/>
      </c>
      <c r="D137" s="7">
        <f>MIN(Inputs!$B$25*B137,C137)</f>
        <v/>
      </c>
      <c r="E137" s="7">
        <f>IF(B137&lt;=0,0,Inputs!$G$21*D137)</f>
        <v/>
      </c>
      <c r="F137" s="7">
        <f>E137/(1+Inputs!$B$24)^A137</f>
        <v/>
      </c>
      <c r="G137" s="7">
        <f>IF(B137&lt;=0,C137,C137-D137)</f>
        <v/>
      </c>
    </row>
    <row r="138">
      <c r="A138" t="n">
        <v>140</v>
      </c>
      <c r="B138" s="7">
        <f>B137*(1+Inputs!$G$6)</f>
        <v/>
      </c>
      <c r="C138" s="7">
        <f>G137</f>
        <v/>
      </c>
      <c r="D138" s="7">
        <f>MIN(Inputs!$B$25*B138,C138)</f>
        <v/>
      </c>
      <c r="E138" s="7">
        <f>IF(B138&lt;=0,0,Inputs!$G$21*D138)</f>
        <v/>
      </c>
      <c r="F138" s="7">
        <f>E138/(1+Inputs!$B$24)^A138</f>
        <v/>
      </c>
      <c r="G138" s="7">
        <f>IF(B138&lt;=0,C138,C138-D138)</f>
        <v/>
      </c>
    </row>
    <row r="139">
      <c r="A139" t="n">
        <v>141</v>
      </c>
      <c r="B139" s="7">
        <f>B138*(1+Inputs!$G$6)</f>
        <v/>
      </c>
      <c r="C139" s="7">
        <f>G138</f>
        <v/>
      </c>
      <c r="D139" s="7">
        <f>MIN(Inputs!$B$25*B139,C139)</f>
        <v/>
      </c>
      <c r="E139" s="7">
        <f>IF(B139&lt;=0,0,Inputs!$G$21*D139)</f>
        <v/>
      </c>
      <c r="F139" s="7">
        <f>E139/(1+Inputs!$B$24)^A139</f>
        <v/>
      </c>
      <c r="G139" s="7">
        <f>IF(B139&lt;=0,C139,C139-D139)</f>
        <v/>
      </c>
    </row>
    <row r="140">
      <c r="A140" t="n">
        <v>142</v>
      </c>
      <c r="B140" s="7">
        <f>B139*(1+Inputs!$G$6)</f>
        <v/>
      </c>
      <c r="C140" s="7">
        <f>G139</f>
        <v/>
      </c>
      <c r="D140" s="7">
        <f>MIN(Inputs!$B$25*B140,C140)</f>
        <v/>
      </c>
      <c r="E140" s="7">
        <f>IF(B140&lt;=0,0,Inputs!$G$21*D140)</f>
        <v/>
      </c>
      <c r="F140" s="7">
        <f>E140/(1+Inputs!$B$24)^A140</f>
        <v/>
      </c>
      <c r="G140" s="7">
        <f>IF(B140&lt;=0,C140,C140-D140)</f>
        <v/>
      </c>
    </row>
    <row r="141">
      <c r="A141" t="n">
        <v>143</v>
      </c>
      <c r="B141" s="7">
        <f>B140*(1+Inputs!$G$6)</f>
        <v/>
      </c>
      <c r="C141" s="7">
        <f>G140</f>
        <v/>
      </c>
      <c r="D141" s="7">
        <f>MIN(Inputs!$B$25*B141,C141)</f>
        <v/>
      </c>
      <c r="E141" s="7">
        <f>IF(B141&lt;=0,0,Inputs!$G$21*D141)</f>
        <v/>
      </c>
      <c r="F141" s="7">
        <f>E141/(1+Inputs!$B$24)^A141</f>
        <v/>
      </c>
      <c r="G141" s="7">
        <f>IF(B141&lt;=0,C141,C141-D141)</f>
        <v/>
      </c>
    </row>
    <row r="142">
      <c r="A142" t="n">
        <v>144</v>
      </c>
      <c r="B142" s="7">
        <f>B141*(1+Inputs!$G$6)</f>
        <v/>
      </c>
      <c r="C142" s="7">
        <f>G141</f>
        <v/>
      </c>
      <c r="D142" s="7">
        <f>MIN(Inputs!$B$25*B142,C142)</f>
        <v/>
      </c>
      <c r="E142" s="7">
        <f>IF(B142&lt;=0,0,Inputs!$G$21*D142)</f>
        <v/>
      </c>
      <c r="F142" s="7">
        <f>E142/(1+Inputs!$B$24)^A142</f>
        <v/>
      </c>
      <c r="G142" s="7">
        <f>IF(B142&lt;=0,C142,C142-D142)</f>
        <v/>
      </c>
    </row>
    <row r="143">
      <c r="A143" t="n">
        <v>145</v>
      </c>
      <c r="B143" s="7">
        <f>B142*(1+Inputs!$G$6)</f>
        <v/>
      </c>
      <c r="C143" s="7">
        <f>G142</f>
        <v/>
      </c>
      <c r="D143" s="7">
        <f>MIN(Inputs!$B$25*B143,C143)</f>
        <v/>
      </c>
      <c r="E143" s="7">
        <f>IF(B143&lt;=0,0,Inputs!$G$21*D143)</f>
        <v/>
      </c>
      <c r="F143" s="7">
        <f>E143/(1+Inputs!$B$24)^A143</f>
        <v/>
      </c>
      <c r="G143" s="7">
        <f>IF(B143&lt;=0,C143,C143-D143)</f>
        <v/>
      </c>
    </row>
    <row r="144">
      <c r="A144" t="n">
        <v>146</v>
      </c>
      <c r="B144" s="7">
        <f>B143*(1+Inputs!$G$6)</f>
        <v/>
      </c>
      <c r="C144" s="7">
        <f>G143</f>
        <v/>
      </c>
      <c r="D144" s="7">
        <f>MIN(Inputs!$B$25*B144,C144)</f>
        <v/>
      </c>
      <c r="E144" s="7">
        <f>IF(B144&lt;=0,0,Inputs!$G$21*D144)</f>
        <v/>
      </c>
      <c r="F144" s="7">
        <f>E144/(1+Inputs!$B$24)^A144</f>
        <v/>
      </c>
      <c r="G144" s="7">
        <f>IF(B144&lt;=0,C144,C144-D144)</f>
        <v/>
      </c>
    </row>
    <row r="145">
      <c r="A145" t="n">
        <v>147</v>
      </c>
      <c r="B145" s="7">
        <f>B144*(1+Inputs!$G$6)</f>
        <v/>
      </c>
      <c r="C145" s="7">
        <f>G144</f>
        <v/>
      </c>
      <c r="D145" s="7">
        <f>MIN(Inputs!$B$25*B145,C145)</f>
        <v/>
      </c>
      <c r="E145" s="7">
        <f>IF(B145&lt;=0,0,Inputs!$G$21*D145)</f>
        <v/>
      </c>
      <c r="F145" s="7">
        <f>E145/(1+Inputs!$B$24)^A145</f>
        <v/>
      </c>
      <c r="G145" s="7">
        <f>IF(B145&lt;=0,C145,C145-D145)</f>
        <v/>
      </c>
    </row>
    <row r="146">
      <c r="A146" t="n">
        <v>148</v>
      </c>
      <c r="B146" s="7">
        <f>B145*(1+Inputs!$G$6)</f>
        <v/>
      </c>
      <c r="C146" s="7">
        <f>G145</f>
        <v/>
      </c>
      <c r="D146" s="7">
        <f>MIN(Inputs!$B$25*B146,C146)</f>
        <v/>
      </c>
      <c r="E146" s="7">
        <f>IF(B146&lt;=0,0,Inputs!$G$21*D146)</f>
        <v/>
      </c>
      <c r="F146" s="7">
        <f>E146/(1+Inputs!$B$24)^A146</f>
        <v/>
      </c>
      <c r="G146" s="7">
        <f>IF(B146&lt;=0,C146,C146-D146)</f>
        <v/>
      </c>
    </row>
    <row r="147">
      <c r="A147" t="n">
        <v>149</v>
      </c>
      <c r="B147" s="7">
        <f>B146*(1+Inputs!$G$6)</f>
        <v/>
      </c>
      <c r="C147" s="7">
        <f>G146</f>
        <v/>
      </c>
      <c r="D147" s="7">
        <f>MIN(Inputs!$B$25*B147,C147)</f>
        <v/>
      </c>
      <c r="E147" s="7">
        <f>IF(B147&lt;=0,0,Inputs!$G$21*D147)</f>
        <v/>
      </c>
      <c r="F147" s="7">
        <f>E147/(1+Inputs!$B$24)^A147</f>
        <v/>
      </c>
      <c r="G147" s="7">
        <f>IF(B147&lt;=0,C147,C147-D147)</f>
        <v/>
      </c>
    </row>
    <row r="148">
      <c r="A148" t="n">
        <v>150</v>
      </c>
      <c r="B148" s="7">
        <f>B147*(1+Inputs!$G$6)</f>
        <v/>
      </c>
      <c r="C148" s="7">
        <f>G147</f>
        <v/>
      </c>
      <c r="D148" s="7">
        <f>MIN(Inputs!$B$25*B148,C148)</f>
        <v/>
      </c>
      <c r="E148" s="7">
        <f>IF(B148&lt;=0,0,Inputs!$G$21*D148)</f>
        <v/>
      </c>
      <c r="F148" s="7">
        <f>E148/(1+Inputs!$B$24)^A148</f>
        <v/>
      </c>
      <c r="G148" s="7">
        <f>IF(B148&lt;=0,C148,C148-D148)</f>
        <v/>
      </c>
    </row>
    <row r="149">
      <c r="A149" t="n">
        <v>151</v>
      </c>
      <c r="B149" s="7">
        <f>B148*(1+Inputs!$G$6)</f>
        <v/>
      </c>
      <c r="C149" s="7">
        <f>G148</f>
        <v/>
      </c>
      <c r="D149" s="7">
        <f>MIN(Inputs!$B$25*B149,C149)</f>
        <v/>
      </c>
      <c r="E149" s="7">
        <f>IF(B149&lt;=0,0,Inputs!$G$21*D149)</f>
        <v/>
      </c>
      <c r="F149" s="7">
        <f>E149/(1+Inputs!$B$24)^A149</f>
        <v/>
      </c>
      <c r="G149" s="7">
        <f>IF(B149&lt;=0,C149,C149-D149)</f>
        <v/>
      </c>
    </row>
    <row r="150">
      <c r="A150" t="n">
        <v>152</v>
      </c>
      <c r="B150" s="7">
        <f>B149*(1+Inputs!$G$6)</f>
        <v/>
      </c>
      <c r="C150" s="7">
        <f>G149</f>
        <v/>
      </c>
      <c r="D150" s="7">
        <f>MIN(Inputs!$B$25*B150,C150)</f>
        <v/>
      </c>
      <c r="E150" s="7">
        <f>IF(B150&lt;=0,0,Inputs!$G$21*D150)</f>
        <v/>
      </c>
      <c r="F150" s="7">
        <f>E150/(1+Inputs!$B$24)^A150</f>
        <v/>
      </c>
      <c r="G150" s="7">
        <f>IF(B150&lt;=0,C150,C150-D150)</f>
        <v/>
      </c>
    </row>
    <row r="151">
      <c r="A151" t="n">
        <v>153</v>
      </c>
      <c r="B151" s="7">
        <f>B150*(1+Inputs!$G$6)</f>
        <v/>
      </c>
      <c r="C151" s="7">
        <f>G150</f>
        <v/>
      </c>
      <c r="D151" s="7">
        <f>MIN(Inputs!$B$25*B151,C151)</f>
        <v/>
      </c>
      <c r="E151" s="7">
        <f>IF(B151&lt;=0,0,Inputs!$G$21*D151)</f>
        <v/>
      </c>
      <c r="F151" s="7">
        <f>E151/(1+Inputs!$B$24)^A151</f>
        <v/>
      </c>
      <c r="G151" s="7">
        <f>IF(B151&lt;=0,C151,C151-D151)</f>
        <v/>
      </c>
    </row>
    <row r="152">
      <c r="A152" t="n">
        <v>154</v>
      </c>
      <c r="B152" s="7">
        <f>B151*(1+Inputs!$G$6)</f>
        <v/>
      </c>
      <c r="C152" s="7">
        <f>G151</f>
        <v/>
      </c>
      <c r="D152" s="7">
        <f>MIN(Inputs!$B$25*B152,C152)</f>
        <v/>
      </c>
      <c r="E152" s="7">
        <f>IF(B152&lt;=0,0,Inputs!$G$21*D152)</f>
        <v/>
      </c>
      <c r="F152" s="7">
        <f>E152/(1+Inputs!$B$24)^A152</f>
        <v/>
      </c>
      <c r="G152" s="7">
        <f>IF(B152&lt;=0,C152,C152-D152)</f>
        <v/>
      </c>
    </row>
    <row r="153">
      <c r="A153" t="n">
        <v>155</v>
      </c>
      <c r="B153" s="7">
        <f>B152*(1+Inputs!$G$6)</f>
        <v/>
      </c>
      <c r="C153" s="7">
        <f>G152</f>
        <v/>
      </c>
      <c r="D153" s="7">
        <f>MIN(Inputs!$B$25*B153,C153)</f>
        <v/>
      </c>
      <c r="E153" s="7">
        <f>IF(B153&lt;=0,0,Inputs!$G$21*D153)</f>
        <v/>
      </c>
      <c r="F153" s="7">
        <f>E153/(1+Inputs!$B$24)^A153</f>
        <v/>
      </c>
      <c r="G153" s="7">
        <f>IF(B153&lt;=0,C153,C153-D153)</f>
        <v/>
      </c>
    </row>
    <row r="154">
      <c r="A154" t="n">
        <v>156</v>
      </c>
      <c r="B154" s="7">
        <f>B153*(1+Inputs!$G$6)</f>
        <v/>
      </c>
      <c r="C154" s="7">
        <f>G153</f>
        <v/>
      </c>
      <c r="D154" s="7">
        <f>MIN(Inputs!$B$25*B154,C154)</f>
        <v/>
      </c>
      <c r="E154" s="7">
        <f>IF(B154&lt;=0,0,Inputs!$G$21*D154)</f>
        <v/>
      </c>
      <c r="F154" s="7">
        <f>E154/(1+Inputs!$B$24)^A154</f>
        <v/>
      </c>
      <c r="G154" s="7">
        <f>IF(B154&lt;=0,C154,C154-D154)</f>
        <v/>
      </c>
    </row>
    <row r="155">
      <c r="A155" t="n">
        <v>157</v>
      </c>
      <c r="B155" s="7">
        <f>B154*(1+Inputs!$G$6)</f>
        <v/>
      </c>
      <c r="C155" s="7">
        <f>G154</f>
        <v/>
      </c>
      <c r="D155" s="7">
        <f>MIN(Inputs!$B$25*B155,C155)</f>
        <v/>
      </c>
      <c r="E155" s="7">
        <f>IF(B155&lt;=0,0,Inputs!$G$21*D155)</f>
        <v/>
      </c>
      <c r="F155" s="7">
        <f>E155/(1+Inputs!$B$24)^A155</f>
        <v/>
      </c>
      <c r="G155" s="7">
        <f>IF(B155&lt;=0,C155,C155-D155)</f>
        <v/>
      </c>
    </row>
    <row r="156">
      <c r="A156" t="n">
        <v>158</v>
      </c>
      <c r="B156" s="7">
        <f>B155*(1+Inputs!$G$6)</f>
        <v/>
      </c>
      <c r="C156" s="7">
        <f>G155</f>
        <v/>
      </c>
      <c r="D156" s="7">
        <f>MIN(Inputs!$B$25*B156,C156)</f>
        <v/>
      </c>
      <c r="E156" s="7">
        <f>IF(B156&lt;=0,0,Inputs!$G$21*D156)</f>
        <v/>
      </c>
      <c r="F156" s="7">
        <f>E156/(1+Inputs!$B$24)^A156</f>
        <v/>
      </c>
      <c r="G156" s="7">
        <f>IF(B156&lt;=0,C156,C156-D156)</f>
        <v/>
      </c>
    </row>
    <row r="157">
      <c r="A157" t="n">
        <v>159</v>
      </c>
      <c r="B157" s="7">
        <f>B156*(1+Inputs!$G$6)</f>
        <v/>
      </c>
      <c r="C157" s="7">
        <f>G156</f>
        <v/>
      </c>
      <c r="D157" s="7">
        <f>MIN(Inputs!$B$25*B157,C157)</f>
        <v/>
      </c>
      <c r="E157" s="7">
        <f>IF(B157&lt;=0,0,Inputs!$G$21*D157)</f>
        <v/>
      </c>
      <c r="F157" s="7">
        <f>E157/(1+Inputs!$B$24)^A157</f>
        <v/>
      </c>
      <c r="G157" s="7">
        <f>IF(B157&lt;=0,C157,C157-D157)</f>
        <v/>
      </c>
    </row>
    <row r="158">
      <c r="A158" t="n">
        <v>160</v>
      </c>
      <c r="B158" s="7">
        <f>B157*(1+Inputs!$G$6)</f>
        <v/>
      </c>
      <c r="C158" s="7">
        <f>G157</f>
        <v/>
      </c>
      <c r="D158" s="7">
        <f>MIN(Inputs!$B$25*B158,C158)</f>
        <v/>
      </c>
      <c r="E158" s="7">
        <f>IF(B158&lt;=0,0,Inputs!$G$21*D158)</f>
        <v/>
      </c>
      <c r="F158" s="7">
        <f>E158/(1+Inputs!$B$24)^A158</f>
        <v/>
      </c>
      <c r="G158" s="7">
        <f>IF(B158&lt;=0,C158,C158-D158)</f>
        <v/>
      </c>
    </row>
    <row r="159">
      <c r="A159" t="n">
        <v>161</v>
      </c>
      <c r="B159" s="7">
        <f>B158*(1+Inputs!$G$6)</f>
        <v/>
      </c>
      <c r="C159" s="7">
        <f>G158</f>
        <v/>
      </c>
      <c r="D159" s="7">
        <f>MIN(Inputs!$B$25*B159,C159)</f>
        <v/>
      </c>
      <c r="E159" s="7">
        <f>IF(B159&lt;=0,0,Inputs!$G$21*D159)</f>
        <v/>
      </c>
      <c r="F159" s="7">
        <f>E159/(1+Inputs!$B$24)^A159</f>
        <v/>
      </c>
      <c r="G159" s="7">
        <f>IF(B159&lt;=0,C159,C159-D159)</f>
        <v/>
      </c>
    </row>
    <row r="160">
      <c r="A160" t="n">
        <v>162</v>
      </c>
      <c r="B160" s="7">
        <f>B159*(1+Inputs!$G$6)</f>
        <v/>
      </c>
      <c r="C160" s="7">
        <f>G159</f>
        <v/>
      </c>
      <c r="D160" s="7">
        <f>MIN(Inputs!$B$25*B160,C160)</f>
        <v/>
      </c>
      <c r="E160" s="7">
        <f>IF(B160&lt;=0,0,Inputs!$G$21*D160)</f>
        <v/>
      </c>
      <c r="F160" s="7">
        <f>E160/(1+Inputs!$B$24)^A160</f>
        <v/>
      </c>
      <c r="G160" s="7">
        <f>IF(B160&lt;=0,C160,C160-D160)</f>
        <v/>
      </c>
    </row>
    <row r="161">
      <c r="A161" t="n">
        <v>163</v>
      </c>
      <c r="B161" s="7">
        <f>B160*(1+Inputs!$G$6)</f>
        <v/>
      </c>
      <c r="C161" s="7">
        <f>G160</f>
        <v/>
      </c>
      <c r="D161" s="7">
        <f>MIN(Inputs!$B$25*B161,C161)</f>
        <v/>
      </c>
      <c r="E161" s="7">
        <f>IF(B161&lt;=0,0,Inputs!$G$21*D161)</f>
        <v/>
      </c>
      <c r="F161" s="7">
        <f>E161/(1+Inputs!$B$24)^A161</f>
        <v/>
      </c>
      <c r="G161" s="7">
        <f>IF(B161&lt;=0,C161,C161-D161)</f>
        <v/>
      </c>
    </row>
    <row r="162">
      <c r="A162" t="n">
        <v>164</v>
      </c>
      <c r="B162" s="7">
        <f>B161*(1+Inputs!$G$6)</f>
        <v/>
      </c>
      <c r="C162" s="7">
        <f>G161</f>
        <v/>
      </c>
      <c r="D162" s="7">
        <f>MIN(Inputs!$B$25*B162,C162)</f>
        <v/>
      </c>
      <c r="E162" s="7">
        <f>IF(B162&lt;=0,0,Inputs!$G$21*D162)</f>
        <v/>
      </c>
      <c r="F162" s="7">
        <f>E162/(1+Inputs!$B$24)^A162</f>
        <v/>
      </c>
      <c r="G162" s="7">
        <f>IF(B162&lt;=0,C162,C162-D162)</f>
        <v/>
      </c>
    </row>
    <row r="163">
      <c r="A163" t="n">
        <v>165</v>
      </c>
      <c r="B163" s="7">
        <f>B162*(1+Inputs!$G$6)</f>
        <v/>
      </c>
      <c r="C163" s="7">
        <f>G162</f>
        <v/>
      </c>
      <c r="D163" s="7">
        <f>MIN(Inputs!$B$25*B163,C163)</f>
        <v/>
      </c>
      <c r="E163" s="7">
        <f>IF(B163&lt;=0,0,Inputs!$G$21*D163)</f>
        <v/>
      </c>
      <c r="F163" s="7">
        <f>E163/(1+Inputs!$B$24)^A163</f>
        <v/>
      </c>
      <c r="G163" s="7">
        <f>IF(B163&lt;=0,C163,C163-D163)</f>
        <v/>
      </c>
    </row>
    <row r="164">
      <c r="A164" t="n">
        <v>166</v>
      </c>
      <c r="B164" s="7">
        <f>B163*(1+Inputs!$G$6)</f>
        <v/>
      </c>
      <c r="C164" s="7">
        <f>G163</f>
        <v/>
      </c>
      <c r="D164" s="7">
        <f>MIN(Inputs!$B$25*B164,C164)</f>
        <v/>
      </c>
      <c r="E164" s="7">
        <f>IF(B164&lt;=0,0,Inputs!$G$21*D164)</f>
        <v/>
      </c>
      <c r="F164" s="7">
        <f>E164/(1+Inputs!$B$24)^A164</f>
        <v/>
      </c>
      <c r="G164" s="7">
        <f>IF(B164&lt;=0,C164,C164-D164)</f>
        <v/>
      </c>
    </row>
    <row r="165">
      <c r="A165" t="n">
        <v>167</v>
      </c>
      <c r="B165" s="7">
        <f>B164*(1+Inputs!$G$6)</f>
        <v/>
      </c>
      <c r="C165" s="7">
        <f>G164</f>
        <v/>
      </c>
      <c r="D165" s="7">
        <f>MIN(Inputs!$B$25*B165,C165)</f>
        <v/>
      </c>
      <c r="E165" s="7">
        <f>IF(B165&lt;=0,0,Inputs!$G$21*D165)</f>
        <v/>
      </c>
      <c r="F165" s="7">
        <f>E165/(1+Inputs!$B$24)^A165</f>
        <v/>
      </c>
      <c r="G165" s="7">
        <f>IF(B165&lt;=0,C165,C165-D165)</f>
        <v/>
      </c>
    </row>
    <row r="166">
      <c r="A166" t="n">
        <v>168</v>
      </c>
      <c r="B166" s="7">
        <f>B165*(1+Inputs!$G$6)</f>
        <v/>
      </c>
      <c r="C166" s="7">
        <f>G165</f>
        <v/>
      </c>
      <c r="D166" s="7">
        <f>MIN(Inputs!$B$25*B166,C166)</f>
        <v/>
      </c>
      <c r="E166" s="7">
        <f>IF(B166&lt;=0,0,Inputs!$G$21*D166)</f>
        <v/>
      </c>
      <c r="F166" s="7">
        <f>E166/(1+Inputs!$B$24)^A166</f>
        <v/>
      </c>
      <c r="G166" s="7">
        <f>IF(B166&lt;=0,C166,C166-D166)</f>
        <v/>
      </c>
    </row>
    <row r="167">
      <c r="A167" t="n">
        <v>169</v>
      </c>
      <c r="B167" s="7">
        <f>B166*(1+Inputs!$G$6)</f>
        <v/>
      </c>
      <c r="C167" s="7">
        <f>G166</f>
        <v/>
      </c>
      <c r="D167" s="7">
        <f>MIN(Inputs!$B$25*B167,C167)</f>
        <v/>
      </c>
      <c r="E167" s="7">
        <f>IF(B167&lt;=0,0,Inputs!$G$21*D167)</f>
        <v/>
      </c>
      <c r="F167" s="7">
        <f>E167/(1+Inputs!$B$24)^A167</f>
        <v/>
      </c>
      <c r="G167" s="7">
        <f>IF(B167&lt;=0,C167,C167-D167)</f>
        <v/>
      </c>
    </row>
    <row r="168">
      <c r="A168" t="n">
        <v>170</v>
      </c>
      <c r="B168" s="7">
        <f>B167*(1+Inputs!$G$6)</f>
        <v/>
      </c>
      <c r="C168" s="7">
        <f>G167</f>
        <v/>
      </c>
      <c r="D168" s="7">
        <f>MIN(Inputs!$B$25*B168,C168)</f>
        <v/>
      </c>
      <c r="E168" s="7">
        <f>IF(B168&lt;=0,0,Inputs!$G$21*D168)</f>
        <v/>
      </c>
      <c r="F168" s="7">
        <f>E168/(1+Inputs!$B$24)^A168</f>
        <v/>
      </c>
      <c r="G168" s="7">
        <f>IF(B168&lt;=0,C168,C168-D168)</f>
        <v/>
      </c>
    </row>
    <row r="169">
      <c r="A169" t="n">
        <v>171</v>
      </c>
      <c r="B169" s="7">
        <f>B168*(1+Inputs!$G$6)</f>
        <v/>
      </c>
      <c r="C169" s="7">
        <f>G168</f>
        <v/>
      </c>
      <c r="D169" s="7">
        <f>MIN(Inputs!$B$25*B169,C169)</f>
        <v/>
      </c>
      <c r="E169" s="7">
        <f>IF(B169&lt;=0,0,Inputs!$G$21*D169)</f>
        <v/>
      </c>
      <c r="F169" s="7">
        <f>E169/(1+Inputs!$B$24)^A169</f>
        <v/>
      </c>
      <c r="G169" s="7">
        <f>IF(B169&lt;=0,C169,C169-D169)</f>
        <v/>
      </c>
    </row>
    <row r="170">
      <c r="A170" t="n">
        <v>172</v>
      </c>
      <c r="B170" s="7">
        <f>B169*(1+Inputs!$G$6)</f>
        <v/>
      </c>
      <c r="C170" s="7">
        <f>G169</f>
        <v/>
      </c>
      <c r="D170" s="7">
        <f>MIN(Inputs!$B$25*B170,C170)</f>
        <v/>
      </c>
      <c r="E170" s="7">
        <f>IF(B170&lt;=0,0,Inputs!$G$21*D170)</f>
        <v/>
      </c>
      <c r="F170" s="7">
        <f>E170/(1+Inputs!$B$24)^A170</f>
        <v/>
      </c>
      <c r="G170" s="7">
        <f>IF(B170&lt;=0,C170,C170-D170)</f>
        <v/>
      </c>
    </row>
    <row r="171">
      <c r="A171" t="n">
        <v>173</v>
      </c>
      <c r="B171" s="7">
        <f>B170*(1+Inputs!$G$6)</f>
        <v/>
      </c>
      <c r="C171" s="7">
        <f>G170</f>
        <v/>
      </c>
      <c r="D171" s="7">
        <f>MIN(Inputs!$B$25*B171,C171)</f>
        <v/>
      </c>
      <c r="E171" s="7">
        <f>IF(B171&lt;=0,0,Inputs!$G$21*D171)</f>
        <v/>
      </c>
      <c r="F171" s="7">
        <f>E171/(1+Inputs!$B$24)^A171</f>
        <v/>
      </c>
      <c r="G171" s="7">
        <f>IF(B171&lt;=0,C171,C171-D171)</f>
        <v/>
      </c>
    </row>
    <row r="172">
      <c r="A172" t="n">
        <v>174</v>
      </c>
      <c r="B172" s="7">
        <f>B171*(1+Inputs!$G$6)</f>
        <v/>
      </c>
      <c r="C172" s="7">
        <f>G171</f>
        <v/>
      </c>
      <c r="D172" s="7">
        <f>MIN(Inputs!$B$25*B172,C172)</f>
        <v/>
      </c>
      <c r="E172" s="7">
        <f>IF(B172&lt;=0,0,Inputs!$G$21*D172)</f>
        <v/>
      </c>
      <c r="F172" s="7">
        <f>E172/(1+Inputs!$B$24)^A172</f>
        <v/>
      </c>
      <c r="G172" s="7">
        <f>IF(B172&lt;=0,C172,C172-D172)</f>
        <v/>
      </c>
    </row>
    <row r="173">
      <c r="A173" t="n">
        <v>175</v>
      </c>
      <c r="B173" s="7">
        <f>B172*(1+Inputs!$G$6)</f>
        <v/>
      </c>
      <c r="C173" s="7">
        <f>G172</f>
        <v/>
      </c>
      <c r="D173" s="7">
        <f>MIN(Inputs!$B$25*B173,C173)</f>
        <v/>
      </c>
      <c r="E173" s="7">
        <f>IF(B173&lt;=0,0,Inputs!$G$21*D173)</f>
        <v/>
      </c>
      <c r="F173" s="7">
        <f>E173/(1+Inputs!$B$24)^A173</f>
        <v/>
      </c>
      <c r="G173" s="7">
        <f>IF(B173&lt;=0,C173,C173-D173)</f>
        <v/>
      </c>
    </row>
    <row r="174">
      <c r="A174" t="n">
        <v>176</v>
      </c>
      <c r="B174" s="7">
        <f>B173*(1+Inputs!$G$6)</f>
        <v/>
      </c>
      <c r="C174" s="7">
        <f>G173</f>
        <v/>
      </c>
      <c r="D174" s="7">
        <f>MIN(Inputs!$B$25*B174,C174)</f>
        <v/>
      </c>
      <c r="E174" s="7">
        <f>IF(B174&lt;=0,0,Inputs!$G$21*D174)</f>
        <v/>
      </c>
      <c r="F174" s="7">
        <f>E174/(1+Inputs!$B$24)^A174</f>
        <v/>
      </c>
      <c r="G174" s="7">
        <f>IF(B174&lt;=0,C174,C174-D174)</f>
        <v/>
      </c>
    </row>
    <row r="175">
      <c r="A175" t="n">
        <v>177</v>
      </c>
      <c r="B175" s="7">
        <f>B174*(1+Inputs!$G$6)</f>
        <v/>
      </c>
      <c r="C175" s="7">
        <f>G174</f>
        <v/>
      </c>
      <c r="D175" s="7">
        <f>MIN(Inputs!$B$25*B175,C175)</f>
        <v/>
      </c>
      <c r="E175" s="7">
        <f>IF(B175&lt;=0,0,Inputs!$G$21*D175)</f>
        <v/>
      </c>
      <c r="F175" s="7">
        <f>E175/(1+Inputs!$B$24)^A175</f>
        <v/>
      </c>
      <c r="G175" s="7">
        <f>IF(B175&lt;=0,C175,C175-D175)</f>
        <v/>
      </c>
    </row>
    <row r="176">
      <c r="A176" t="n">
        <v>178</v>
      </c>
      <c r="B176" s="7">
        <f>B175*(1+Inputs!$G$6)</f>
        <v/>
      </c>
      <c r="C176" s="7">
        <f>G175</f>
        <v/>
      </c>
      <c r="D176" s="7">
        <f>MIN(Inputs!$B$25*B176,C176)</f>
        <v/>
      </c>
      <c r="E176" s="7">
        <f>IF(B176&lt;=0,0,Inputs!$G$21*D176)</f>
        <v/>
      </c>
      <c r="F176" s="7">
        <f>E176/(1+Inputs!$B$24)^A176</f>
        <v/>
      </c>
      <c r="G176" s="7">
        <f>IF(B176&lt;=0,C176,C176-D176)</f>
        <v/>
      </c>
    </row>
    <row r="177">
      <c r="A177" t="n">
        <v>179</v>
      </c>
      <c r="B177" s="7">
        <f>B176*(1+Inputs!$G$6)</f>
        <v/>
      </c>
      <c r="C177" s="7">
        <f>G176</f>
        <v/>
      </c>
      <c r="D177" s="7">
        <f>MIN(Inputs!$B$25*B177,C177)</f>
        <v/>
      </c>
      <c r="E177" s="7">
        <f>IF(B177&lt;=0,0,Inputs!$G$21*D177)</f>
        <v/>
      </c>
      <c r="F177" s="7">
        <f>E177/(1+Inputs!$B$24)^A177</f>
        <v/>
      </c>
      <c r="G177" s="7">
        <f>IF(B177&lt;=0,C177,C177-D177)</f>
        <v/>
      </c>
    </row>
    <row r="178">
      <c r="A178" t="n">
        <v>180</v>
      </c>
      <c r="B178" s="7">
        <f>B177*(1+Inputs!$G$6)</f>
        <v/>
      </c>
      <c r="C178" s="7">
        <f>G177</f>
        <v/>
      </c>
      <c r="D178" s="7">
        <f>MIN(Inputs!$B$25*B178,C178)</f>
        <v/>
      </c>
      <c r="E178" s="7">
        <f>IF(B178&lt;=0,0,Inputs!$G$21*D178)</f>
        <v/>
      </c>
      <c r="F178" s="7">
        <f>E178/(1+Inputs!$B$24)^A178</f>
        <v/>
      </c>
      <c r="G178" s="7">
        <f>IF(B178&lt;=0,C178,C178-D178)</f>
        <v/>
      </c>
    </row>
    <row r="179">
      <c r="A179" t="n">
        <v>181</v>
      </c>
      <c r="B179" s="7">
        <f>B178*(1+Inputs!$G$6)</f>
        <v/>
      </c>
      <c r="C179" s="7">
        <f>G178</f>
        <v/>
      </c>
      <c r="D179" s="7">
        <f>MIN(Inputs!$B$25*B179,C179)</f>
        <v/>
      </c>
      <c r="E179" s="7">
        <f>IF(B179&lt;=0,0,Inputs!$G$21*D179)</f>
        <v/>
      </c>
      <c r="F179" s="7">
        <f>E179/(1+Inputs!$B$24)^A179</f>
        <v/>
      </c>
      <c r="G179" s="7">
        <f>IF(B179&lt;=0,C179,C179-D179)</f>
        <v/>
      </c>
    </row>
    <row r="180">
      <c r="A180" t="n">
        <v>182</v>
      </c>
      <c r="B180" s="7">
        <f>B179*(1+Inputs!$G$6)</f>
        <v/>
      </c>
      <c r="C180" s="7">
        <f>G179</f>
        <v/>
      </c>
      <c r="D180" s="7">
        <f>MIN(Inputs!$B$25*B180,C180)</f>
        <v/>
      </c>
      <c r="E180" s="7">
        <f>IF(B180&lt;=0,0,Inputs!$G$21*D180)</f>
        <v/>
      </c>
      <c r="F180" s="7">
        <f>E180/(1+Inputs!$B$24)^A180</f>
        <v/>
      </c>
      <c r="G180" s="7">
        <f>IF(B180&lt;=0,C180,C180-D180)</f>
        <v/>
      </c>
    </row>
    <row r="181">
      <c r="A181" t="n">
        <v>183</v>
      </c>
      <c r="B181" s="7">
        <f>B180*(1+Inputs!$G$6)</f>
        <v/>
      </c>
      <c r="C181" s="7">
        <f>G180</f>
        <v/>
      </c>
      <c r="D181" s="7">
        <f>MIN(Inputs!$B$25*B181,C181)</f>
        <v/>
      </c>
      <c r="E181" s="7">
        <f>IF(B181&lt;=0,0,Inputs!$G$21*D181)</f>
        <v/>
      </c>
      <c r="F181" s="7">
        <f>E181/(1+Inputs!$B$24)^A181</f>
        <v/>
      </c>
      <c r="G181" s="7">
        <f>IF(B181&lt;=0,C181,C181-D181)</f>
        <v/>
      </c>
    </row>
    <row r="182">
      <c r="A182" t="n">
        <v>184</v>
      </c>
      <c r="B182" s="7">
        <f>B181*(1+Inputs!$G$6)</f>
        <v/>
      </c>
      <c r="C182" s="7">
        <f>G181</f>
        <v/>
      </c>
      <c r="D182" s="7">
        <f>MIN(Inputs!$B$25*B182,C182)</f>
        <v/>
      </c>
      <c r="E182" s="7">
        <f>IF(B182&lt;=0,0,Inputs!$G$21*D182)</f>
        <v/>
      </c>
      <c r="F182" s="7">
        <f>E182/(1+Inputs!$B$24)^A182</f>
        <v/>
      </c>
      <c r="G182" s="7">
        <f>IF(B182&lt;=0,C182,C182-D182)</f>
        <v/>
      </c>
    </row>
    <row r="183">
      <c r="A183" t="n">
        <v>185</v>
      </c>
      <c r="B183" s="7">
        <f>B182*(1+Inputs!$G$6)</f>
        <v/>
      </c>
      <c r="C183" s="7">
        <f>G182</f>
        <v/>
      </c>
      <c r="D183" s="7">
        <f>MIN(Inputs!$B$25*B183,C183)</f>
        <v/>
      </c>
      <c r="E183" s="7">
        <f>IF(B183&lt;=0,0,Inputs!$G$21*D183)</f>
        <v/>
      </c>
      <c r="F183" s="7">
        <f>E183/(1+Inputs!$B$24)^A183</f>
        <v/>
      </c>
      <c r="G183" s="7">
        <f>IF(B183&lt;=0,C183,C183-D183)</f>
        <v/>
      </c>
    </row>
    <row r="184">
      <c r="A184" t="n">
        <v>186</v>
      </c>
      <c r="B184" s="7">
        <f>B183*(1+Inputs!$G$6)</f>
        <v/>
      </c>
      <c r="C184" s="7">
        <f>G183</f>
        <v/>
      </c>
      <c r="D184" s="7">
        <f>MIN(Inputs!$B$25*B184,C184)</f>
        <v/>
      </c>
      <c r="E184" s="7">
        <f>IF(B184&lt;=0,0,Inputs!$G$21*D184)</f>
        <v/>
      </c>
      <c r="F184" s="7">
        <f>E184/(1+Inputs!$B$24)^A184</f>
        <v/>
      </c>
      <c r="G184" s="7">
        <f>IF(B184&lt;=0,C184,C184-D184)</f>
        <v/>
      </c>
    </row>
    <row r="185">
      <c r="A185" t="n">
        <v>187</v>
      </c>
      <c r="B185" s="7">
        <f>B184*(1+Inputs!$G$6)</f>
        <v/>
      </c>
      <c r="C185" s="7">
        <f>G184</f>
        <v/>
      </c>
      <c r="D185" s="7">
        <f>MIN(Inputs!$B$25*B185,C185)</f>
        <v/>
      </c>
      <c r="E185" s="7">
        <f>IF(B185&lt;=0,0,Inputs!$G$21*D185)</f>
        <v/>
      </c>
      <c r="F185" s="7">
        <f>E185/(1+Inputs!$B$24)^A185</f>
        <v/>
      </c>
      <c r="G185" s="7">
        <f>IF(B185&lt;=0,C185,C185-D185)</f>
        <v/>
      </c>
    </row>
    <row r="186">
      <c r="A186" t="n">
        <v>188</v>
      </c>
      <c r="B186" s="7">
        <f>B185*(1+Inputs!$G$6)</f>
        <v/>
      </c>
      <c r="C186" s="7">
        <f>G185</f>
        <v/>
      </c>
      <c r="D186" s="7">
        <f>MIN(Inputs!$B$25*B186,C186)</f>
        <v/>
      </c>
      <c r="E186" s="7">
        <f>IF(B186&lt;=0,0,Inputs!$G$21*D186)</f>
        <v/>
      </c>
      <c r="F186" s="7">
        <f>E186/(1+Inputs!$B$24)^A186</f>
        <v/>
      </c>
      <c r="G186" s="7">
        <f>IF(B186&lt;=0,C186,C186-D186)</f>
        <v/>
      </c>
    </row>
    <row r="187">
      <c r="A187" t="n">
        <v>189</v>
      </c>
      <c r="B187" s="7">
        <f>B186*(1+Inputs!$G$6)</f>
        <v/>
      </c>
      <c r="C187" s="7">
        <f>G186</f>
        <v/>
      </c>
      <c r="D187" s="7">
        <f>MIN(Inputs!$B$25*B187,C187)</f>
        <v/>
      </c>
      <c r="E187" s="7">
        <f>IF(B187&lt;=0,0,Inputs!$G$21*D187)</f>
        <v/>
      </c>
      <c r="F187" s="7">
        <f>E187/(1+Inputs!$B$24)^A187</f>
        <v/>
      </c>
      <c r="G187" s="7">
        <f>IF(B187&lt;=0,C187,C187-D187)</f>
        <v/>
      </c>
    </row>
    <row r="188">
      <c r="A188" t="n">
        <v>190</v>
      </c>
      <c r="B188" s="7">
        <f>B187*(1+Inputs!$G$6)</f>
        <v/>
      </c>
      <c r="C188" s="7">
        <f>G187</f>
        <v/>
      </c>
      <c r="D188" s="7">
        <f>MIN(Inputs!$B$25*B188,C188)</f>
        <v/>
      </c>
      <c r="E188" s="7">
        <f>IF(B188&lt;=0,0,Inputs!$G$21*D188)</f>
        <v/>
      </c>
      <c r="F188" s="7">
        <f>E188/(1+Inputs!$B$24)^A188</f>
        <v/>
      </c>
      <c r="G188" s="7">
        <f>IF(B188&lt;=0,C188,C188-D188)</f>
        <v/>
      </c>
    </row>
    <row r="189">
      <c r="A189" t="n">
        <v>191</v>
      </c>
      <c r="B189" s="7">
        <f>B188*(1+Inputs!$G$6)</f>
        <v/>
      </c>
      <c r="C189" s="7">
        <f>G188</f>
        <v/>
      </c>
      <c r="D189" s="7">
        <f>MIN(Inputs!$B$25*B189,C189)</f>
        <v/>
      </c>
      <c r="E189" s="7">
        <f>IF(B189&lt;=0,0,Inputs!$G$21*D189)</f>
        <v/>
      </c>
      <c r="F189" s="7">
        <f>E189/(1+Inputs!$B$24)^A189</f>
        <v/>
      </c>
      <c r="G189" s="7">
        <f>IF(B189&lt;=0,C189,C189-D189)</f>
        <v/>
      </c>
    </row>
    <row r="190">
      <c r="A190" t="n">
        <v>192</v>
      </c>
      <c r="B190" s="7">
        <f>B189*(1+Inputs!$G$6)</f>
        <v/>
      </c>
      <c r="C190" s="7">
        <f>G189</f>
        <v/>
      </c>
      <c r="D190" s="7">
        <f>MIN(Inputs!$B$25*B190,C190)</f>
        <v/>
      </c>
      <c r="E190" s="7">
        <f>IF(B190&lt;=0,0,Inputs!$G$21*D190)</f>
        <v/>
      </c>
      <c r="F190" s="7">
        <f>E190/(1+Inputs!$B$24)^A190</f>
        <v/>
      </c>
      <c r="G190" s="7">
        <f>IF(B190&lt;=0,C190,C190-D190)</f>
        <v/>
      </c>
    </row>
    <row r="191">
      <c r="A191" t="n">
        <v>193</v>
      </c>
      <c r="B191" s="7">
        <f>B190*(1+Inputs!$G$6)</f>
        <v/>
      </c>
      <c r="C191" s="7">
        <f>G190</f>
        <v/>
      </c>
      <c r="D191" s="7">
        <f>MIN(Inputs!$B$25*B191,C191)</f>
        <v/>
      </c>
      <c r="E191" s="7">
        <f>IF(B191&lt;=0,0,Inputs!$G$21*D191)</f>
        <v/>
      </c>
      <c r="F191" s="7">
        <f>E191/(1+Inputs!$B$24)^A191</f>
        <v/>
      </c>
      <c r="G191" s="7">
        <f>IF(B191&lt;=0,C191,C191-D191)</f>
        <v/>
      </c>
    </row>
    <row r="192">
      <c r="A192" t="n">
        <v>194</v>
      </c>
      <c r="B192" s="7">
        <f>B191*(1+Inputs!$G$6)</f>
        <v/>
      </c>
      <c r="C192" s="7">
        <f>G191</f>
        <v/>
      </c>
      <c r="D192" s="7">
        <f>MIN(Inputs!$B$25*B192,C192)</f>
        <v/>
      </c>
      <c r="E192" s="7">
        <f>IF(B192&lt;=0,0,Inputs!$G$21*D192)</f>
        <v/>
      </c>
      <c r="F192" s="7">
        <f>E192/(1+Inputs!$B$24)^A192</f>
        <v/>
      </c>
      <c r="G192" s="7">
        <f>IF(B192&lt;=0,C192,C192-D192)</f>
        <v/>
      </c>
    </row>
    <row r="193">
      <c r="A193" t="n">
        <v>195</v>
      </c>
      <c r="B193" s="7">
        <f>B192*(1+Inputs!$G$6)</f>
        <v/>
      </c>
      <c r="C193" s="7">
        <f>G192</f>
        <v/>
      </c>
      <c r="D193" s="7">
        <f>MIN(Inputs!$B$25*B193,C193)</f>
        <v/>
      </c>
      <c r="E193" s="7">
        <f>IF(B193&lt;=0,0,Inputs!$G$21*D193)</f>
        <v/>
      </c>
      <c r="F193" s="7">
        <f>E193/(1+Inputs!$B$24)^A193</f>
        <v/>
      </c>
      <c r="G193" s="7">
        <f>IF(B193&lt;=0,C193,C193-D193)</f>
        <v/>
      </c>
    </row>
    <row r="194">
      <c r="A194" t="n">
        <v>196</v>
      </c>
      <c r="B194" s="7">
        <f>B193*(1+Inputs!$G$6)</f>
        <v/>
      </c>
      <c r="C194" s="7">
        <f>G193</f>
        <v/>
      </c>
      <c r="D194" s="7">
        <f>MIN(Inputs!$B$25*B194,C194)</f>
        <v/>
      </c>
      <c r="E194" s="7">
        <f>IF(B194&lt;=0,0,Inputs!$G$21*D194)</f>
        <v/>
      </c>
      <c r="F194" s="7">
        <f>E194/(1+Inputs!$B$24)^A194</f>
        <v/>
      </c>
      <c r="G194" s="7">
        <f>IF(B194&lt;=0,C194,C194-D194)</f>
        <v/>
      </c>
    </row>
    <row r="195">
      <c r="A195" t="n">
        <v>197</v>
      </c>
      <c r="B195" s="7">
        <f>B194*(1+Inputs!$G$6)</f>
        <v/>
      </c>
      <c r="C195" s="7">
        <f>G194</f>
        <v/>
      </c>
      <c r="D195" s="7">
        <f>MIN(Inputs!$B$25*B195,C195)</f>
        <v/>
      </c>
      <c r="E195" s="7">
        <f>IF(B195&lt;=0,0,Inputs!$G$21*D195)</f>
        <v/>
      </c>
      <c r="F195" s="7">
        <f>E195/(1+Inputs!$B$24)^A195</f>
        <v/>
      </c>
      <c r="G195" s="7">
        <f>IF(B195&lt;=0,C195,C195-D195)</f>
        <v/>
      </c>
    </row>
    <row r="196">
      <c r="A196" t="n">
        <v>198</v>
      </c>
      <c r="B196" s="7">
        <f>B195*(1+Inputs!$G$6)</f>
        <v/>
      </c>
      <c r="C196" s="7">
        <f>G195</f>
        <v/>
      </c>
      <c r="D196" s="7">
        <f>MIN(Inputs!$B$25*B196,C196)</f>
        <v/>
      </c>
      <c r="E196" s="7">
        <f>IF(B196&lt;=0,0,Inputs!$G$21*D196)</f>
        <v/>
      </c>
      <c r="F196" s="7">
        <f>E196/(1+Inputs!$B$24)^A196</f>
        <v/>
      </c>
      <c r="G196" s="7">
        <f>IF(B196&lt;=0,C196,C196-D196)</f>
        <v/>
      </c>
    </row>
    <row r="197">
      <c r="A197" t="n">
        <v>199</v>
      </c>
      <c r="B197" s="7">
        <f>B196*(1+Inputs!$G$6)</f>
        <v/>
      </c>
      <c r="C197" s="7">
        <f>G196</f>
        <v/>
      </c>
      <c r="D197" s="7">
        <f>MIN(Inputs!$B$25*B197,C197)</f>
        <v/>
      </c>
      <c r="E197" s="7">
        <f>IF(B197&lt;=0,0,Inputs!$G$21*D197)</f>
        <v/>
      </c>
      <c r="F197" s="7">
        <f>E197/(1+Inputs!$B$24)^A197</f>
        <v/>
      </c>
      <c r="G197" s="7">
        <f>IF(B197&lt;=0,C197,C197-D197)</f>
        <v/>
      </c>
    </row>
    <row r="198">
      <c r="A198" t="n">
        <v>200</v>
      </c>
      <c r="B198" s="7">
        <f>B197*(1+Inputs!$G$6)</f>
        <v/>
      </c>
      <c r="C198" s="7">
        <f>G197</f>
        <v/>
      </c>
      <c r="D198" s="7">
        <f>MIN(Inputs!$B$25*B198,C198)</f>
        <v/>
      </c>
      <c r="E198" s="7">
        <f>IF(B198&lt;=0,0,Inputs!$G$21*D198)</f>
        <v/>
      </c>
      <c r="F198" s="7">
        <f>E198/(1+Inputs!$B$24)^A198</f>
        <v/>
      </c>
      <c r="G198" s="7">
        <f>IF(B198&lt;=0,C198,C198-D198)</f>
        <v/>
      </c>
    </row>
    <row r="199">
      <c r="A199" t="n">
        <v>201</v>
      </c>
      <c r="B199" s="7">
        <f>B198*(1+Inputs!$G$6)</f>
        <v/>
      </c>
      <c r="C199" s="7">
        <f>G198</f>
        <v/>
      </c>
      <c r="D199" s="7">
        <f>MIN(Inputs!$B$25*B199,C199)</f>
        <v/>
      </c>
      <c r="E199" s="7">
        <f>IF(B199&lt;=0,0,Inputs!$G$21*D199)</f>
        <v/>
      </c>
      <c r="F199" s="7">
        <f>E199/(1+Inputs!$B$24)^A199</f>
        <v/>
      </c>
      <c r="G199" s="7">
        <f>IF(B199&lt;=0,C199,C199-D199)</f>
        <v/>
      </c>
    </row>
    <row r="200">
      <c r="A200" t="n">
        <v>202</v>
      </c>
      <c r="B200" s="7">
        <f>B199*(1+Inputs!$G$6)</f>
        <v/>
      </c>
      <c r="C200" s="7">
        <f>G199</f>
        <v/>
      </c>
      <c r="D200" s="7">
        <f>MIN(Inputs!$B$25*B200,C200)</f>
        <v/>
      </c>
      <c r="E200" s="7">
        <f>IF(B200&lt;=0,0,Inputs!$G$21*D200)</f>
        <v/>
      </c>
      <c r="F200" s="7">
        <f>E200/(1+Inputs!$B$24)^A200</f>
        <v/>
      </c>
      <c r="G200" s="7">
        <f>IF(B200&lt;=0,C200,C200-D200)</f>
        <v/>
      </c>
    </row>
    <row r="201">
      <c r="A201" t="n">
        <v>203</v>
      </c>
      <c r="B201" s="7">
        <f>B200*(1+Inputs!$G$6)</f>
        <v/>
      </c>
      <c r="C201" s="7">
        <f>G200</f>
        <v/>
      </c>
      <c r="D201" s="7">
        <f>MIN(Inputs!$B$25*B201,C201)</f>
        <v/>
      </c>
      <c r="E201" s="7">
        <f>IF(B201&lt;=0,0,Inputs!$G$21*D201)</f>
        <v/>
      </c>
      <c r="F201" s="7">
        <f>E201/(1+Inputs!$B$24)^A201</f>
        <v/>
      </c>
      <c r="G201" s="7">
        <f>IF(B201&lt;=0,C201,C201-D201)</f>
        <v/>
      </c>
    </row>
    <row r="202">
      <c r="A202" t="n">
        <v>204</v>
      </c>
      <c r="B202" s="7">
        <f>B201*(1+Inputs!$G$6)</f>
        <v/>
      </c>
      <c r="C202" s="7">
        <f>G201</f>
        <v/>
      </c>
      <c r="D202" s="7">
        <f>MIN(Inputs!$B$25*B202,C202)</f>
        <v/>
      </c>
      <c r="E202" s="7">
        <f>IF(B202&lt;=0,0,Inputs!$G$21*D202)</f>
        <v/>
      </c>
      <c r="F202" s="7">
        <f>E202/(1+Inputs!$B$24)^A202</f>
        <v/>
      </c>
      <c r="G202" s="7">
        <f>IF(B202&lt;=0,C202,C202-D202)</f>
        <v/>
      </c>
    </row>
    <row r="203">
      <c r="A203" t="n">
        <v>205</v>
      </c>
      <c r="B203" s="7">
        <f>B202*(1+Inputs!$G$6)</f>
        <v/>
      </c>
      <c r="C203" s="7">
        <f>G202</f>
        <v/>
      </c>
      <c r="D203" s="7">
        <f>MIN(Inputs!$B$25*B203,C203)</f>
        <v/>
      </c>
      <c r="E203" s="7">
        <f>IF(B203&lt;=0,0,Inputs!$G$21*D203)</f>
        <v/>
      </c>
      <c r="F203" s="7">
        <f>E203/(1+Inputs!$B$24)^A203</f>
        <v/>
      </c>
      <c r="G203" s="7">
        <f>IF(B203&lt;=0,C203,C203-D203)</f>
        <v/>
      </c>
    </row>
    <row r="204">
      <c r="A204" t="n">
        <v>206</v>
      </c>
      <c r="B204" s="7">
        <f>B203*(1+Inputs!$G$6)</f>
        <v/>
      </c>
      <c r="C204" s="7">
        <f>G203</f>
        <v/>
      </c>
      <c r="D204" s="7">
        <f>MIN(Inputs!$B$25*B204,C204)</f>
        <v/>
      </c>
      <c r="E204" s="7">
        <f>IF(B204&lt;=0,0,Inputs!$G$21*D204)</f>
        <v/>
      </c>
      <c r="F204" s="7">
        <f>E204/(1+Inputs!$B$24)^A204</f>
        <v/>
      </c>
      <c r="G204" s="7">
        <f>IF(B204&lt;=0,C204,C204-D204)</f>
        <v/>
      </c>
    </row>
    <row r="206">
      <c r="A206" s="11" t="inlineStr">
        <is>
          <t>PV of the shield</t>
        </is>
      </c>
      <c r="F206" s="9">
        <f>SUM(F5:F204)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26" customWidth="1" min="1" max="1"/>
  </cols>
  <sheetData>
    <row r="1">
      <c r="A1" s="1" t="inlineStr">
        <is>
          <t>Does this workbook still agree with the engine that wrote it?</t>
        </is>
      </c>
    </row>
    <row r="2">
      <c r="A2" s="14" t="inlineStr">
        <is>
          <t>Every cell below compares a formula on the Model or Bridge sheet against the number dcf_engine.py computed when this file was written. Anything but 'ok' means the workbook has been edited in a way that changed the arithmetic, not just the assumptions. Tolerance 1e-06.</t>
        </is>
      </c>
    </row>
    <row r="4">
      <c r="A4" s="11" t="inlineStr">
        <is>
          <t>Overall</t>
        </is>
      </c>
      <c r="B4" s="11">
        <f>IF(COUNTIF(B7:H29,"FAIL")&gt;0,"FAIL","ok")</f>
        <v/>
      </c>
    </row>
    <row r="6">
      <c r="A6" s="3" t="inlineStr">
        <is>
          <t>Model line</t>
        </is>
      </c>
      <c r="B6" s="3" t="inlineStr">
        <is>
          <t>Year 1</t>
        </is>
      </c>
      <c r="C6" s="3" t="inlineStr">
        <is>
          <t>Year 2</t>
        </is>
      </c>
      <c r="D6" s="3" t="inlineStr">
        <is>
          <t>Year 3</t>
        </is>
      </c>
      <c r="E6" s="3" t="inlineStr">
        <is>
          <t>Year 4</t>
        </is>
      </c>
      <c r="F6" s="3" t="inlineStr">
        <is>
          <t>Year 5</t>
        </is>
      </c>
      <c r="G6" s="3" t="inlineStr">
        <is>
          <t>Year 6</t>
        </is>
      </c>
      <c r="H6" s="3" t="inlineStr">
        <is>
          <t>Year 7</t>
        </is>
      </c>
    </row>
    <row r="7">
      <c r="A7" t="inlineStr">
        <is>
          <t>sales</t>
        </is>
      </c>
      <c r="B7">
        <f>IF(ABS(Model!B4-(1228578.285))&gt;1e-06,"FAIL","ok")</f>
        <v/>
      </c>
      <c r="C7">
        <f>IF(ABS(Model!C4-(1308435.873525))&gt;1e-06,"FAIL","ok")</f>
        <v/>
      </c>
      <c r="D7">
        <f>IF(ABS(Model!D4-(1386942.0259365))&gt;1e-06,"FAIL","ok")</f>
        <v/>
      </c>
      <c r="E7">
        <f>IF(ABS(Model!E4-(1449354.4171036424))&gt;1e-06,"FAIL","ok")</f>
        <v/>
      </c>
      <c r="F7">
        <f>IF(ABS(Model!F4-(1500081.8217022698))&gt;1e-06,"FAIL","ok")</f>
        <v/>
      </c>
      <c r="G7">
        <f>IF(ABS(Model!G4-(1552584.6854618492))&gt;1e-06,"FAIL","ok")</f>
        <v/>
      </c>
      <c r="H7">
        <f>IF(ABS(Model!H4-(1606925.149453014))&gt;1e-06,"FAIL","ok")</f>
        <v/>
      </c>
    </row>
    <row r="8">
      <c r="A8" t="inlineStr">
        <is>
          <t>ebitda</t>
        </is>
      </c>
      <c r="B8">
        <f>IF(ABS(Model!B6-(125314.98506999998))&gt;1e-06,"FAIL","ok")</f>
        <v/>
      </c>
      <c r="C8">
        <f>IF(ABS(Model!C6-(138694.20259365))&gt;1e-06,"FAIL","ok")</f>
        <v/>
      </c>
      <c r="D8">
        <f>IF(ABS(Model!D6-(149789.738801142))&gt;1e-06,"FAIL","ok")</f>
        <v/>
      </c>
      <c r="E8">
        <f>IF(ABS(Model!E6-(156530.2770471934))&gt;1e-06,"FAIL","ok")</f>
        <v/>
      </c>
      <c r="F8">
        <f>IF(ABS(Model!F6-(162008.83674384517))&gt;1e-06,"FAIL","ok")</f>
        <v/>
      </c>
      <c r="G8">
        <f>IF(ABS(Model!G6-(167679.14602987975))&gt;1e-06,"FAIL","ok")</f>
        <v/>
      </c>
      <c r="H8">
        <f>IF(ABS(Model!H6-(173547.91614092552))&gt;1e-06,"FAIL","ok")</f>
        <v/>
      </c>
    </row>
    <row r="9">
      <c r="A9" t="inlineStr">
        <is>
          <t>net_ppe</t>
        </is>
      </c>
      <c r="B9">
        <f>IF(ABS(Model!B7-(249225.88067142857))&gt;1e-06,"FAIL","ok")</f>
        <v/>
      </c>
      <c r="C9">
        <f>IF(ABS(Model!C7-(247668.21891723215))&gt;1e-06,"FAIL","ok")</f>
        <v/>
      </c>
      <c r="D9">
        <f>IF(ABS(Model!D7-(245653.29103451563))&gt;1e-06,"FAIL","ok")</f>
        <v/>
      </c>
      <c r="E9">
        <f>IF(ABS(Model!E7-(243915.7433662227))&gt;1e-06,"FAIL","ok")</f>
        <v/>
      </c>
      <c r="F9">
        <f>IF(ABS(Model!F7-(246442.0135653729))&gt;1e-06,"FAIL","ok")</f>
        <v/>
      </c>
      <c r="G9">
        <f>IF(ABS(Model!G7-(255067.48404016095))&gt;1e-06,"FAIL","ok")</f>
        <v/>
      </c>
      <c r="H9">
        <f>IF(ABS(Model!H7-(263994.8459815666))&gt;1e-06,"FAIL","ok")</f>
        <v/>
      </c>
    </row>
    <row r="10">
      <c r="A10" t="inlineStr">
        <is>
          <t>depreciation</t>
        </is>
      </c>
      <c r="B10">
        <f>IF(ABS(Model!B8-(34118.280000000006))&gt;1e-06,"FAIL","ok")</f>
        <v/>
      </c>
      <c r="C10">
        <f>IF(ABS(Model!C8-(33645.49389064286))&gt;1e-06,"FAIL","ok")</f>
        <v/>
      </c>
      <c r="D10">
        <f>IF(ABS(Model!D8-(32196.86845924018))&gt;1e-06,"FAIL","ok")</f>
        <v/>
      </c>
      <c r="E10">
        <f>IF(ABS(Model!E8-(31934.927834487033))&gt;1e-06,"FAIL","ok")</f>
        <v/>
      </c>
      <c r="F10">
        <f>IF(ABS(Model!F8-(31709.046637608953))&gt;1e-06,"FAIL","ok")</f>
        <v/>
      </c>
      <c r="G10">
        <f>IF(ABS(Model!G8-(32037.46176349848))&gt;1e-06,"FAIL","ok")</f>
        <v/>
      </c>
      <c r="H10">
        <f>IF(ABS(Model!H8-(33158.772925220925))&gt;1e-06,"FAIL","ok")</f>
        <v/>
      </c>
    </row>
    <row r="11">
      <c r="A11" t="inlineStr">
        <is>
          <t>capex</t>
        </is>
      </c>
      <c r="B11">
        <f>IF(ABS(Model!B9-(39642.16067142858))&gt;1e-06,"FAIL","ok")</f>
        <v/>
      </c>
      <c r="C11">
        <f>IF(ABS(Model!C9-(32087.832136446435))&gt;1e-06,"FAIL","ok")</f>
        <v/>
      </c>
      <c r="D11">
        <f>IF(ABS(Model!D9-(30181.940576523655))&gt;1e-06,"FAIL","ok")</f>
        <v/>
      </c>
      <c r="E11">
        <f>IF(ABS(Model!E9-(30197.380166194118))&gt;1e-06,"FAIL","ok")</f>
        <v/>
      </c>
      <c r="F11">
        <f>IF(ABS(Model!F9-(34235.31683675915))&gt;1e-06,"FAIL","ok")</f>
        <v/>
      </c>
      <c r="G11">
        <f>IF(ABS(Model!G9-(40662.93223828652))&gt;1e-06,"FAIL","ok")</f>
        <v/>
      </c>
      <c r="H11">
        <f>IF(ABS(Model!H9-(42086.134866626555))&gt;1e-06,"FAIL","ok")</f>
        <v/>
      </c>
    </row>
    <row r="12">
      <c r="A12" t="inlineStr">
        <is>
          <t>nwc</t>
        </is>
      </c>
      <c r="B12">
        <f>IF(ABS(Model!B10-(218686.93472999998))&gt;1e-06,"FAIL","ok")</f>
        <v/>
      </c>
      <c r="C12">
        <f>IF(ABS(Model!C10-(230284.71374039998))&gt;1e-06,"FAIL","ok")</f>
        <v/>
      </c>
      <c r="D12">
        <f>IF(ABS(Model!D10-(241327.91251295104))&gt;1e-06,"FAIL","ok")</f>
        <v/>
      </c>
      <c r="E12">
        <f>IF(ABS(Model!E10-(249288.95974182646))&gt;1e-06,"FAIL","ok")</f>
        <v/>
      </c>
      <c r="F12">
        <f>IF(ABS(Model!F10-(256513.99151108816))&gt;1e-06,"FAIL","ok")</f>
        <v/>
      </c>
      <c r="G12">
        <f>IF(ABS(Model!G10-(265491.9812139762))&gt;1e-06,"FAIL","ok")</f>
        <v/>
      </c>
      <c r="H12">
        <f>IF(ABS(Model!H10-(274784.2005564654))&gt;1e-06,"FAIL","ok")</f>
        <v/>
      </c>
    </row>
    <row r="13">
      <c r="A13" t="inlineStr">
        <is>
          <t>delta_nwc</t>
        </is>
      </c>
      <c r="B13">
        <f>IF(ABS(Model!B11-(9207.934729999979))&gt;1e-06,"FAIL","ok")</f>
        <v/>
      </c>
      <c r="C13">
        <f>IF(ABS(Model!C11-(11597.779010400001))&gt;1e-06,"FAIL","ok")</f>
        <v/>
      </c>
      <c r="D13">
        <f>IF(ABS(Model!D11-(11043.198772551055))&gt;1e-06,"FAIL","ok")</f>
        <v/>
      </c>
      <c r="E13">
        <f>IF(ABS(Model!E11-(7961.0472288754245))&gt;1e-06,"FAIL","ok")</f>
        <v/>
      </c>
      <c r="F13">
        <f>IF(ABS(Model!F11-(7225.031769261695))&gt;1e-06,"FAIL","ok")</f>
        <v/>
      </c>
      <c r="G13">
        <f>IF(ABS(Model!G11-(8977.989702888066))&gt;1e-06,"FAIL","ok")</f>
        <v/>
      </c>
      <c r="H13">
        <f>IF(ABS(Model!H11-(9292.219342489203))&gt;1e-06,"FAIL","ok")</f>
        <v/>
      </c>
    </row>
    <row r="14">
      <c r="A14" t="inlineStr">
        <is>
          <t>ebit</t>
        </is>
      </c>
      <c r="B14">
        <f>IF(ABS(Model!B12-(91196.70506999997))&gt;1e-06,"FAIL","ok")</f>
        <v/>
      </c>
      <c r="C14">
        <f>IF(ABS(Model!C12-(105048.70870300714))&gt;1e-06,"FAIL","ok")</f>
        <v/>
      </c>
      <c r="D14">
        <f>IF(ABS(Model!D12-(117592.87034190181))&gt;1e-06,"FAIL","ok")</f>
        <v/>
      </c>
      <c r="E14">
        <f>IF(ABS(Model!E12-(124595.34921270638))&gt;1e-06,"FAIL","ok")</f>
        <v/>
      </c>
      <c r="F14">
        <f>IF(ABS(Model!F12-(130299.7901062362))&gt;1e-06,"FAIL","ok")</f>
        <v/>
      </c>
      <c r="G14">
        <f>IF(ABS(Model!G12-(135641.68426638126))&gt;1e-06,"FAIL","ok")</f>
        <v/>
      </c>
      <c r="H14">
        <f>IF(ABS(Model!H12-(140389.1432157046))&gt;1e-06,"FAIL","ok")</f>
        <v/>
      </c>
    </row>
    <row r="15">
      <c r="A15" t="inlineStr">
        <is>
          <t>nol_used</t>
        </is>
      </c>
      <c r="B15">
        <f>IF(ABS(Model!B14-(0.0))&gt;1e-06,"FAIL","ok")</f>
        <v/>
      </c>
      <c r="C15">
        <f>IF(ABS(Model!C14-(0.0))&gt;1e-06,"FAIL","ok")</f>
        <v/>
      </c>
      <c r="D15">
        <f>IF(ABS(Model!D14-(0.0))&gt;1e-06,"FAIL","ok")</f>
        <v/>
      </c>
      <c r="E15">
        <f>IF(ABS(Model!E14-(0.0))&gt;1e-06,"FAIL","ok")</f>
        <v/>
      </c>
      <c r="F15">
        <f>IF(ABS(Model!F14-(0.0))&gt;1e-06,"FAIL","ok")</f>
        <v/>
      </c>
      <c r="G15">
        <f>IF(ABS(Model!G14-(0.0))&gt;1e-06,"FAIL","ok")</f>
        <v/>
      </c>
      <c r="H15">
        <f>IF(ABS(Model!H14-(0.0))&gt;1e-06,"FAIL","ok")</f>
        <v/>
      </c>
    </row>
    <row r="16">
      <c r="A16" t="inlineStr">
        <is>
          <t>taxable_income</t>
        </is>
      </c>
      <c r="B16">
        <f>IF(ABS(Model!B15-(91196.70506999997))&gt;1e-06,"FAIL","ok")</f>
        <v/>
      </c>
      <c r="C16">
        <f>IF(ABS(Model!C15-(105048.70870300714))&gt;1e-06,"FAIL","ok")</f>
        <v/>
      </c>
      <c r="D16">
        <f>IF(ABS(Model!D15-(117592.87034190181))&gt;1e-06,"FAIL","ok")</f>
        <v/>
      </c>
      <c r="E16">
        <f>IF(ABS(Model!E15-(124595.34921270638))&gt;1e-06,"FAIL","ok")</f>
        <v/>
      </c>
      <c r="F16">
        <f>IF(ABS(Model!F15-(130299.7901062362))&gt;1e-06,"FAIL","ok")</f>
        <v/>
      </c>
      <c r="G16">
        <f>IF(ABS(Model!G15-(135641.68426638126))&gt;1e-06,"FAIL","ok")</f>
        <v/>
      </c>
      <c r="H16">
        <f>IF(ABS(Model!H15-(140389.1432157046))&gt;1e-06,"FAIL","ok")</f>
        <v/>
      </c>
    </row>
    <row r="17">
      <c r="A17" t="inlineStr">
        <is>
          <t>tax</t>
        </is>
      </c>
      <c r="B17">
        <f>IF(ABS(Model!B16-(24623.110368899994))&gt;1e-06,"FAIL","ok")</f>
        <v/>
      </c>
      <c r="C17">
        <f>IF(ABS(Model!C16-(28363.15134981193))&gt;1e-06,"FAIL","ok")</f>
        <v/>
      </c>
      <c r="D17">
        <f>IF(ABS(Model!D16-(31750.07499231349))&gt;1e-06,"FAIL","ok")</f>
        <v/>
      </c>
      <c r="E17">
        <f>IF(ABS(Model!E16-(33640.74428743072))&gt;1e-06,"FAIL","ok")</f>
        <v/>
      </c>
      <c r="F17">
        <f>IF(ABS(Model!F16-(35180.94332868378))&gt;1e-06,"FAIL","ok")</f>
        <v/>
      </c>
      <c r="G17">
        <f>IF(ABS(Model!G16-(36623.25475192294))&gt;1e-06,"FAIL","ok")</f>
        <v/>
      </c>
      <c r="H17">
        <f>IF(ABS(Model!H16-(37905.068668240245))&gt;1e-06,"FAIL","ok")</f>
        <v/>
      </c>
    </row>
    <row r="18">
      <c r="A18" t="inlineStr">
        <is>
          <t>nol_close</t>
        </is>
      </c>
      <c r="B18">
        <f>IF(ABS(Model!B17-(0.0))&gt;1e-06,"FAIL","ok")</f>
        <v/>
      </c>
      <c r="C18">
        <f>IF(ABS(Model!C17-(0.0))&gt;1e-06,"FAIL","ok")</f>
        <v/>
      </c>
      <c r="D18">
        <f>IF(ABS(Model!D17-(0.0))&gt;1e-06,"FAIL","ok")</f>
        <v/>
      </c>
      <c r="E18">
        <f>IF(ABS(Model!E17-(0.0))&gt;1e-06,"FAIL","ok")</f>
        <v/>
      </c>
      <c r="F18">
        <f>IF(ABS(Model!F17-(0.0))&gt;1e-06,"FAIL","ok")</f>
        <v/>
      </c>
      <c r="G18">
        <f>IF(ABS(Model!G17-(0.0))&gt;1e-06,"FAIL","ok")</f>
        <v/>
      </c>
      <c r="H18">
        <f>IF(ABS(Model!H17-(0.0))&gt;1e-06,"FAIL","ok")</f>
        <v/>
      </c>
    </row>
    <row r="19">
      <c r="A19" t="inlineStr">
        <is>
          <t>fcf</t>
        </is>
      </c>
      <c r="B19">
        <f>IF(ABS(Model!B19-(51841.779299671434))&gt;1e-06,"FAIL","ok")</f>
        <v/>
      </c>
      <c r="C19">
        <f>IF(ABS(Model!C19-(66645.44009699163))&gt;1e-06,"FAIL","ok")</f>
        <v/>
      </c>
      <c r="D19">
        <f>IF(ABS(Model!D19-(76814.5244597538))&gt;1e-06,"FAIL","ok")</f>
        <v/>
      </c>
      <c r="E19">
        <f>IF(ABS(Model!E19-(84731.10536469315))&gt;1e-06,"FAIL","ok")</f>
        <v/>
      </c>
      <c r="F19">
        <f>IF(ABS(Model!F19-(85367.54480914053))&gt;1e-06,"FAIL","ok")</f>
        <v/>
      </c>
      <c r="G19">
        <f>IF(ABS(Model!G19-(81414.96933678222))&gt;1e-06,"FAIL","ok")</f>
        <v/>
      </c>
      <c r="H19">
        <f>IF(ABS(Model!H19-(84264.49326356951))&gt;1e-06,"FAIL","ok")</f>
        <v/>
      </c>
    </row>
    <row r="20">
      <c r="A20" t="inlineStr">
        <is>
          <t>pv_fcf</t>
        </is>
      </c>
      <c r="B20">
        <f>IF(ABS(Model!B21-(48001.64749969577))&gt;1e-06,"FAIL","ok")</f>
        <v/>
      </c>
      <c r="C20">
        <f>IF(ABS(Model!C21-(57137.72299124797))&gt;1e-06,"FAIL","ok")</f>
        <v/>
      </c>
      <c r="D20">
        <f>IF(ABS(Model!D21-(60977.84609478499))&gt;1e-06,"FAIL","ok")</f>
        <v/>
      </c>
      <c r="E20">
        <f>IF(ABS(Model!E21-(62279.89190349118))&gt;1e-06,"FAIL","ok")</f>
        <v/>
      </c>
      <c r="F20">
        <f>IF(ABS(Model!F21-(58099.71656912702))&gt;1e-06,"FAIL","ok")</f>
        <v/>
      </c>
      <c r="G20">
        <f>IF(ABS(Model!G21-(51305.24084965944))&gt;1e-06,"FAIL","ok")</f>
        <v/>
      </c>
      <c r="H20">
        <f>IF(ABS(Model!H21-(49167.52248092358))&gt;1e-06,"FAIL","ok")</f>
        <v/>
      </c>
    </row>
    <row r="22">
      <c r="A22" s="3" t="inlineStr">
        <is>
          <t>Bridge figure</t>
        </is>
      </c>
      <c r="B22" s="3" t="inlineStr">
        <is>
          <t>Check</t>
        </is>
      </c>
    </row>
    <row r="23">
      <c r="A23" t="inlineStr">
        <is>
          <t>ev_ops</t>
        </is>
      </c>
      <c r="B23">
        <f>IF(ABS(Bridge!B6-(1517822.6054501727))&gt;1e-06,"FAIL","ok")</f>
        <v/>
      </c>
    </row>
    <row r="24">
      <c r="A24" t="inlineStr">
        <is>
          <t>pv_nol</t>
        </is>
      </c>
      <c r="B24">
        <f>IF(ABS(Bridge!B7-(0.0))&gt;1e-06,"FAIL","ok")</f>
        <v/>
      </c>
    </row>
    <row r="25">
      <c r="A25" t="inlineStr">
        <is>
          <t>equity_value</t>
        </is>
      </c>
      <c r="B25">
        <f>IF(ABS(Bridge!B14-(1418568.6054501727))&gt;1e-06,"FAIL","ok")</f>
        <v/>
      </c>
    </row>
    <row r="26">
      <c r="A26" t="inlineStr">
        <is>
          <t>terminal_value</t>
        </is>
      </c>
      <c r="B26">
        <f>IF(ABS(Bridge!B4-(1872544.2947459894))&gt;1e-06,"FAIL","ok")</f>
        <v/>
      </c>
    </row>
    <row r="27">
      <c r="A27" t="inlineStr">
        <is>
          <t>pv_terminal</t>
        </is>
      </c>
      <c r="B27">
        <f>IF(ABS(Bridge!B5-(1180020.5395421663))&gt;1e-06,"FAIL","ok")</f>
        <v/>
      </c>
    </row>
    <row r="28">
      <c r="A28" t="inlineStr">
        <is>
          <t>pv_explicit</t>
        </is>
      </c>
      <c r="B28">
        <f>IF(ABS(Bridge!B3-(337802.0659080064))&gt;1e-06,"FAIL","ok")</f>
        <v/>
      </c>
    </row>
    <row r="29">
      <c r="A29" t="inlineStr">
        <is>
          <t>sensitivity grid centre = base case</t>
        </is>
      </c>
      <c r="B29">
        <f>IF(ABS(Sensitivity!D8-(120.44836767454385))&gt;1e-06,"FAIL","ok")</f>
        <v/>
      </c>
    </row>
  </sheetData>
  <conditionalFormatting sqref="A4:H29">
    <cfRule type="cellIs" priority="1" operator="equal" dxfId="0">
      <formula>"FAIL"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2026-10-03T16:07:34Z</dcterms:created>
  <dcterms:modified xsi:type="dcterms:W3CDTF">2026-10-03T16:07:34Z</dcterms:modified>
</cp:coreProperties>
</file>